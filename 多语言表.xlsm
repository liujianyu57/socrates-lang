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<sst xmlns="http://schemas.openxmlformats.org/spreadsheetml/2006/main" count="2454" uniqueCount="1797">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</sst>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00"/>
  <sheetViews>
    <sheetView tabSelected="1" zoomScale="115" zoomScaleNormal="115" workbookViewId="0">
      <pane ySplit="2" topLeftCell="A582" activePane="bottomLeft" state="frozen"/>
      <selection/>
      <selection pane="bottomLeft" activeCell="F591" sqref="F591"/>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5" t="s">
        <v>692</v>
      </c>
      <c r="D244" s="6" t="s">
        <v>693</v>
      </c>
      <c r="E244" s="13"/>
      <c r="F244" s="14"/>
      <c r="G244" s="27"/>
      <c r="H244" s="25"/>
      <c r="I244" s="14" t="str">
        <f t="shared" si="19"/>
        <v>  "textRecentSearch": "Resent",</v>
      </c>
      <c r="J244" s="14" t="str">
        <f t="shared" si="20"/>
        <v>  "textRecentSearch": "最近记录",</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"转账详情",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D473" s="11" t="s">
        <v>1349</v>
      </c>
      <c r="I473" s="14" t="str">
        <f t="shared" ref="I473:I504" si="90">"  """&amp;$B473&amp;""": """&amp;C473&amp;""""&amp;IF(COUNTA($B474)=1,",","")</f>
        <v>  "error307": "",</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D474" s="11" t="s">
        <v>1351</v>
      </c>
      <c r="I474" s="14" t="str">
        <f t="shared" si="90"/>
        <v>  "error308": "",</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ref="I591:I599" si="113">"  """&amp;$B591&amp;""": """&amp;C591&amp;""""&amp;IF(COUNTA($B592)=1,",","")</f>
        <v>  "error20037": "to地址不存在",</v>
      </c>
      <c r="J591" s="14" t="str">
        <f t="shared" ref="J591:J599" si="114">"  """&amp;$B591&amp;""": """&amp;D591&amp;""""&amp;IF(COUNTA($B592)=1,",","")</f>
        <v>  "error20037": "To address does not exist",</v>
      </c>
      <c r="K591" s="14" t="str">
        <f t="shared" ref="K591:K599" si="115">"  """&amp;$B591&amp;""": """&amp;E591&amp;""""&amp;IF(COUNTA($B592)=1,",","")</f>
        <v>  "error20037": "",</v>
      </c>
      <c r="L591" s="14" t="str">
        <f t="shared" ref="L591:L599" si="116">"  """&amp;$B591&amp;""": """&amp;F591&amp;""""&amp;IF(COUNTA($B592)=1,",","")</f>
        <v>  "error20037": "",</v>
      </c>
      <c r="M591" s="14" t="str">
        <f t="shared" ref="M591:M599" si="117">"  """&amp;$B591&amp;""": """&amp;G591&amp;""""&amp;IF(COUNTA($B592)=1,",","")</f>
        <v>  "error20037": "",</v>
      </c>
    </row>
    <row r="592" ht="27.6" spans="1:13">
      <c r="A592" s="26">
        <f t="shared" si="107"/>
        <v>100590</v>
      </c>
      <c r="B592" s="4" t="s">
        <v>1695</v>
      </c>
      <c r="C592" s="7" t="s">
        <v>1696</v>
      </c>
      <c r="D592" s="11" t="s">
        <v>1697</v>
      </c>
      <c r="I592" s="14" t="str">
        <f t="shared" si="113"/>
        <v>  "error20038": "from地址不存在",</v>
      </c>
      <c r="J592" s="14" t="str">
        <f t="shared" si="114"/>
        <v>  "error20038": "From address does not exist",</v>
      </c>
      <c r="K592" s="14" t="str">
        <f t="shared" si="115"/>
        <v>  "error20038": "",</v>
      </c>
      <c r="L592" s="14" t="str">
        <f t="shared" si="116"/>
        <v>  "error20038": "",</v>
      </c>
      <c r="M592" s="14" t="str">
        <f t="shared" si="117"/>
        <v>  "error20038": "",</v>
      </c>
    </row>
    <row r="593" ht="27.6" spans="1:13">
      <c r="A593" s="26">
        <f t="shared" si="107"/>
        <v>100591</v>
      </c>
      <c r="B593" s="4" t="s">
        <v>1698</v>
      </c>
      <c r="C593" s="7" t="s">
        <v>1699</v>
      </c>
      <c r="D593" s="11" t="s">
        <v>1700</v>
      </c>
      <c r="I593" s="14" t="str">
        <f t="shared" si="113"/>
        <v>  "error20039": "冻结的积分小于等于当前积分参数",</v>
      </c>
      <c r="J593" s="14" t="str">
        <f t="shared" si="114"/>
        <v>  "error20039": "The frozen points are less than the current points",</v>
      </c>
      <c r="K593" s="14" t="str">
        <f t="shared" si="115"/>
        <v>  "error20039": "",</v>
      </c>
      <c r="L593" s="14" t="str">
        <f t="shared" si="116"/>
        <v>  "error20039": "",</v>
      </c>
      <c r="M593" s="14" t="str">
        <f t="shared" si="117"/>
        <v>  "error20039": "",</v>
      </c>
    </row>
    <row r="594" spans="1:13">
      <c r="A594" s="26">
        <f t="shared" si="107"/>
        <v>100592</v>
      </c>
      <c r="B594" s="4" t="s">
        <v>1701</v>
      </c>
      <c r="C594" s="7" t="s">
        <v>1702</v>
      </c>
      <c r="D594" s="11" t="s">
        <v>1703</v>
      </c>
      <c r="I594" s="14" t="str">
        <f t="shared" si="113"/>
        <v>  "error20040": "积分订单不存在",</v>
      </c>
      <c r="J594" s="14" t="str">
        <f t="shared" si="114"/>
        <v>  "error20040": "Points order does not exist",</v>
      </c>
      <c r="K594" s="14" t="str">
        <f t="shared" si="115"/>
        <v>  "error20040": "",</v>
      </c>
      <c r="L594" s="14" t="str">
        <f t="shared" si="116"/>
        <v>  "error20040": "",</v>
      </c>
      <c r="M594" s="14" t="str">
        <f t="shared" si="117"/>
        <v>  "error20040": "",</v>
      </c>
    </row>
    <row r="595" spans="1:13">
      <c r="A595" s="26">
        <f t="shared" si="107"/>
        <v>100593</v>
      </c>
      <c r="B595" s="4" t="s">
        <v>1704</v>
      </c>
      <c r="C595" s="7" t="s">
        <v>1705</v>
      </c>
      <c r="D595" s="11" t="s">
        <v>1706</v>
      </c>
      <c r="I595" s="14" t="str">
        <f t="shared" si="113"/>
        <v>  "error20041": "审核积分失败",</v>
      </c>
      <c r="J595" s="14" t="str">
        <f t="shared" si="114"/>
        <v>  "error20041": "Review points failed",</v>
      </c>
      <c r="K595" s="14" t="str">
        <f t="shared" si="115"/>
        <v>  "error20041": "",</v>
      </c>
      <c r="L595" s="14" t="str">
        <f t="shared" si="116"/>
        <v>  "error20041": "",</v>
      </c>
      <c r="M595" s="14" t="str">
        <f t="shared" si="117"/>
        <v>  "error20041": "",</v>
      </c>
    </row>
    <row r="596" spans="1:13">
      <c r="A596" s="26">
        <f>IF(COUNTA(B596)=1,100000+ROW(B596)-2,"")</f>
        <v>100594</v>
      </c>
      <c r="B596" s="4" t="s">
        <v>1707</v>
      </c>
      <c r="C596" s="7" t="s">
        <v>1708</v>
      </c>
      <c r="D596" s="11" t="s">
        <v>1709</v>
      </c>
      <c r="I596" s="14" t="str">
        <f t="shared" si="113"/>
        <v>  "error20042": "不支持的平台",</v>
      </c>
      <c r="J596" s="14" t="str">
        <f t="shared" si="114"/>
        <v>  "error20042": "unsupported platform",</v>
      </c>
      <c r="K596" s="14" t="str">
        <f t="shared" si="115"/>
        <v>  "error20042": "",</v>
      </c>
      <c r="L596" s="14" t="str">
        <f t="shared" si="116"/>
        <v>  "error20042": "",</v>
      </c>
      <c r="M596" s="14" t="str">
        <f t="shared" si="117"/>
        <v>  "error20042": "",</v>
      </c>
    </row>
    <row r="597" spans="1:13">
      <c r="A597" s="26">
        <f>IF(COUNTA(B597)=1,100000+ROW(B597)-2,"")</f>
        <v>100595</v>
      </c>
      <c r="B597" s="4" t="s">
        <v>1710</v>
      </c>
      <c r="C597" s="7" t="s">
        <v>1711</v>
      </c>
      <c r="D597" s="11" t="s">
        <v>1712</v>
      </c>
      <c r="I597" s="14" t="str">
        <f t="shared" si="113"/>
        <v>  "btnGetCode": "获取验证码",</v>
      </c>
      <c r="J597" s="14" t="str">
        <f t="shared" si="114"/>
        <v>  "btnGetCode": "Get verification code",</v>
      </c>
      <c r="K597" s="14" t="str">
        <f t="shared" si="115"/>
        <v>  "btnGetCode": "",</v>
      </c>
      <c r="L597" s="14" t="str">
        <f t="shared" si="116"/>
        <v>  "btnGetCode": "",</v>
      </c>
      <c r="M597" s="14" t="str">
        <f t="shared" si="117"/>
        <v>  "btnGetCode": "",</v>
      </c>
    </row>
    <row r="598" spans="1:13">
      <c r="A598" s="26">
        <f>IF(COUNTA(B598)=1,100000+ROW(B598)-2,"")</f>
        <v>100596</v>
      </c>
      <c r="B598" s="4" t="s">
        <v>1713</v>
      </c>
      <c r="C598" s="7" t="s">
        <v>1714</v>
      </c>
      <c r="D598" s="11" t="s">
        <v>1715</v>
      </c>
      <c r="I598" s="14" t="str">
        <f t="shared" si="113"/>
        <v>  "textShow": "显示",</v>
      </c>
      <c r="J598" s="14" t="str">
        <f t="shared" si="114"/>
        <v>  "textShow": "Show",</v>
      </c>
      <c r="K598" s="14" t="str">
        <f t="shared" si="115"/>
        <v>  "textShow": "",</v>
      </c>
      <c r="L598" s="14" t="str">
        <f t="shared" si="116"/>
        <v>  "textShow": "",</v>
      </c>
      <c r="M598" s="14" t="str">
        <f t="shared" si="117"/>
        <v>  "textShow": "",</v>
      </c>
    </row>
    <row r="599" spans="1:13">
      <c r="A599" s="26">
        <f>IF(COUNTA(B599)=1,100000+ROW(B599)-2,"")</f>
        <v>100597</v>
      </c>
      <c r="B599" s="4" t="s">
        <v>1716</v>
      </c>
      <c r="C599" s="7" t="s">
        <v>100</v>
      </c>
      <c r="D599" s="11" t="s">
        <v>101</v>
      </c>
      <c r="I599" s="14" t="str">
        <f t="shared" si="113"/>
        <v>  "textHide": "隐藏"</v>
      </c>
      <c r="J599" s="14" t="str">
        <f t="shared" si="114"/>
        <v>  "textHide": "Hide"</v>
      </c>
      <c r="K599" s="14" t="str">
        <f t="shared" si="115"/>
        <v>  "textHide": ""</v>
      </c>
      <c r="L599" s="14" t="str">
        <f t="shared" si="116"/>
        <v>  "textHide": ""</v>
      </c>
      <c r="M599" s="14" t="str">
        <f t="shared" si="117"/>
        <v>  "textHide": ""</v>
      </c>
    </row>
    <row r="600" spans="1:13">
      <c r="A600" s="26" t="str">
        <f>IF(COUNTA(B600)=1,100000+ROW(B600)-2,"")</f>
        <v/>
      </c>
      <c r="I600" s="14" t="s">
        <v>1717</v>
      </c>
      <c r="J600" s="14" t="s">
        <v>1717</v>
      </c>
      <c r="K600" s="14" t="s">
        <v>1717</v>
      </c>
      <c r="L600" s="14" t="s">
        <v>1717</v>
      </c>
      <c r="M600" s="14" t="s">
        <v>1717</v>
      </c>
    </row>
  </sheetData>
  <autoFilter ref="A2:U440">
    <sortState ref="A2:U440">
      <sortCondition ref="G2" descending="1"/>
    </sortState>
    <extLst/>
  </autoFilter>
  <conditionalFormatting sqref="B11">
    <cfRule type="duplicateValues" dxfId="0" priority="70"/>
  </conditionalFormatting>
  <conditionalFormatting sqref="B71">
    <cfRule type="duplicateValues" dxfId="0" priority="69"/>
  </conditionalFormatting>
  <conditionalFormatting sqref="C124">
    <cfRule type="containsText" dxfId="1" priority="67" operator="between" text="{">
      <formula>NOT(ISERROR(SEARCH("{",C124)))</formula>
    </cfRule>
  </conditionalFormatting>
  <conditionalFormatting sqref="C125">
    <cfRule type="containsText" dxfId="1" priority="66" operator="between" text="{">
      <formula>NOT(ISERROR(SEARCH("{",C125)))</formula>
    </cfRule>
  </conditionalFormatting>
  <conditionalFormatting sqref="C128">
    <cfRule type="containsText" dxfId="1" priority="65" operator="between" text="{">
      <formula>NOT(ISERROR(SEARCH("{",C128)))</formula>
    </cfRule>
  </conditionalFormatting>
  <conditionalFormatting sqref="D150">
    <cfRule type="containsText" dxfId="1" priority="61" operator="between" text="{">
      <formula>NOT(ISERROR(SEARCH("{",D150)))</formula>
    </cfRule>
  </conditionalFormatting>
  <conditionalFormatting sqref="D158">
    <cfRule type="duplicateValues" dxfId="0" priority="60"/>
    <cfRule type="duplicateValues" dxfId="0" priority="59"/>
  </conditionalFormatting>
  <conditionalFormatting sqref="D199">
    <cfRule type="containsText" dxfId="1" priority="58" operator="between" text="{">
      <formula>NOT(ISERROR(SEARCH("{",D199)))</formula>
    </cfRule>
  </conditionalFormatting>
  <conditionalFormatting sqref="C200">
    <cfRule type="containsText" dxfId="1" priority="57" operator="between" text="{">
      <formula>NOT(ISERROR(SEARCH("{",C200)))</formula>
    </cfRule>
  </conditionalFormatting>
  <conditionalFormatting sqref="D200">
    <cfRule type="containsText" dxfId="1" priority="56" operator="between" text="{">
      <formula>NOT(ISERROR(SEARCH("{",D200)))</formula>
    </cfRule>
  </conditionalFormatting>
  <conditionalFormatting sqref="D201">
    <cfRule type="containsText" dxfId="1" priority="55" operator="between" text="{">
      <formula>NOT(ISERROR(SEARCH("{",D201)))</formula>
    </cfRule>
  </conditionalFormatting>
  <conditionalFormatting sqref="C203">
    <cfRule type="containsText" dxfId="1" priority="54" operator="between" text="{">
      <formula>NOT(ISERROR(SEARCH("{",C203)))</formula>
    </cfRule>
  </conditionalFormatting>
  <conditionalFormatting sqref="C204">
    <cfRule type="containsText" dxfId="1" priority="52" operator="between" text="{">
      <formula>NOT(ISERROR(SEARCH("{",C204)))</formula>
    </cfRule>
  </conditionalFormatting>
  <conditionalFormatting sqref="C205">
    <cfRule type="containsText" dxfId="1" priority="53" operator="between" text="{">
      <formula>NOT(ISERROR(SEARCH("{",C205)))</formula>
    </cfRule>
  </conditionalFormatting>
  <conditionalFormatting sqref="B253">
    <cfRule type="duplicateValues" dxfId="0" priority="49"/>
    <cfRule type="duplicateValues" dxfId="0" priority="51"/>
  </conditionalFormatting>
  <conditionalFormatting sqref="C253">
    <cfRule type="containsText" dxfId="1" priority="50" operator="between" text="{">
      <formula>NOT(ISERROR(SEARCH("{",C253)))</formula>
    </cfRule>
  </conditionalFormatting>
  <conditionalFormatting sqref="B254">
    <cfRule type="duplicateValues" dxfId="0" priority="47"/>
    <cfRule type="duplicateValues" dxfId="0" priority="48"/>
  </conditionalFormatting>
  <conditionalFormatting sqref="D278">
    <cfRule type="containsText" dxfId="1" priority="46" operator="between" text="{">
      <formula>NOT(ISERROR(SEARCH("{",D278)))</formula>
    </cfRule>
  </conditionalFormatting>
  <conditionalFormatting sqref="D282">
    <cfRule type="containsText" dxfId="1" priority="45" operator="between" text="{">
      <formula>NOT(ISERROR(SEARCH("{",D282)))</formula>
    </cfRule>
  </conditionalFormatting>
  <conditionalFormatting sqref="D294">
    <cfRule type="containsText" dxfId="1" priority="44" operator="between" text="{">
      <formula>NOT(ISERROR(SEARCH("{",D294)))</formula>
    </cfRule>
  </conditionalFormatting>
  <conditionalFormatting sqref="D301">
    <cfRule type="containsText" dxfId="1" priority="41" operator="between" text="{">
      <formula>NOT(ISERROR(SEARCH("{",D301)))</formula>
    </cfRule>
  </conditionalFormatting>
  <conditionalFormatting sqref="D302">
    <cfRule type="containsText" dxfId="1" priority="42" operator="between" text="{">
      <formula>NOT(ISERROR(SEARCH("{",D302)))</formula>
    </cfRule>
  </conditionalFormatting>
  <conditionalFormatting sqref="B306">
    <cfRule type="duplicateValues" dxfId="0" priority="39"/>
    <cfRule type="duplicateValues" dxfId="0" priority="38"/>
  </conditionalFormatting>
  <conditionalFormatting sqref="D306">
    <cfRule type="duplicateValues" dxfId="0" priority="37"/>
    <cfRule type="duplicateValues" dxfId="0" priority="36"/>
  </conditionalFormatting>
  <conditionalFormatting sqref="D307">
    <cfRule type="containsText" dxfId="1" priority="35" operator="between" text="{">
      <formula>NOT(ISERROR(SEARCH("{",D307)))</formula>
    </cfRule>
  </conditionalFormatting>
  <conditionalFormatting sqref="B311">
    <cfRule type="duplicateValues" dxfId="0" priority="31"/>
    <cfRule type="duplicateValues" dxfId="0" priority="29"/>
  </conditionalFormatting>
  <conditionalFormatting sqref="C311">
    <cfRule type="containsText" dxfId="1" priority="30" operator="between" text="{">
      <formula>NOT(ISERROR(SEARCH("{",C311)))</formula>
    </cfRule>
  </conditionalFormatting>
  <conditionalFormatting sqref="C312">
    <cfRule type="containsText" dxfId="1" priority="28" operator="between" text="{">
      <formula>NOT(ISERROR(SEARCH("{",C312)))</formula>
    </cfRule>
  </conditionalFormatting>
  <conditionalFormatting sqref="D315">
    <cfRule type="duplicateValues" dxfId="0" priority="26"/>
    <cfRule type="duplicateValues" dxfId="0" priority="25"/>
  </conditionalFormatting>
  <conditionalFormatting sqref="C316">
    <cfRule type="containsText" dxfId="1" priority="24" operator="between" text="{">
      <formula>NOT(ISERROR(SEARCH("{",C316)))</formula>
    </cfRule>
  </conditionalFormatting>
  <conditionalFormatting sqref="B317">
    <cfRule type="duplicateValues" dxfId="0" priority="23"/>
    <cfRule type="duplicateValues" dxfId="0" priority="22"/>
  </conditionalFormatting>
  <conditionalFormatting sqref="C317">
    <cfRule type="containsText" dxfId="1" priority="21" operator="between" text="{">
      <formula>NOT(ISERROR(SEARCH("{",C317)))</formula>
    </cfRule>
  </conditionalFormatting>
  <conditionalFormatting sqref="D318">
    <cfRule type="duplicateValues" dxfId="0" priority="17"/>
    <cfRule type="duplicateValues" dxfId="0" priority="16"/>
  </conditionalFormatting>
  <conditionalFormatting sqref="B332">
    <cfRule type="duplicateValues" dxfId="0" priority="15"/>
  </conditionalFormatting>
  <conditionalFormatting sqref="B335">
    <cfRule type="duplicateValues" dxfId="0" priority="14"/>
    <cfRule type="duplicateValues" dxfId="0" priority="12"/>
  </conditionalFormatting>
  <conditionalFormatting sqref="C335">
    <cfRule type="containsText" dxfId="1" priority="13" operator="between" text="{">
      <formula>NOT(ISERROR(SEARCH("{",C335)))</formula>
    </cfRule>
  </conditionalFormatting>
  <conditionalFormatting sqref="B379">
    <cfRule type="duplicateValues" dxfId="0" priority="7"/>
    <cfRule type="duplicateValues" dxfId="0" priority="5"/>
  </conditionalFormatting>
  <conditionalFormatting sqref="C379">
    <cfRule type="containsText" dxfId="1" priority="6" operator="between" text="{">
      <formula>NOT(ISERROR(SEARCH("{",C379)))</formula>
    </cfRule>
  </conditionalFormatting>
  <conditionalFormatting sqref="D464">
    <cfRule type="containsText" dxfId="1" priority="1" operator="between" text="{">
      <formula>NOT(ISERROR(SEARCH("{",D464)))</formula>
    </cfRule>
  </conditionalFormatting>
  <conditionalFormatting sqref="B$1:B$1048576">
    <cfRule type="duplicateValues" dxfId="0" priority="4"/>
  </conditionalFormatting>
  <conditionalFormatting sqref="B131:B132">
    <cfRule type="duplicateValues" dxfId="0" priority="64"/>
  </conditionalFormatting>
  <conditionalFormatting sqref="B309:B310">
    <cfRule type="duplicateValues" dxfId="0" priority="34"/>
    <cfRule type="duplicateValues" dxfId="0" priority="32"/>
  </conditionalFormatting>
  <conditionalFormatting sqref="B318:B319">
    <cfRule type="duplicateValues" dxfId="0" priority="20"/>
    <cfRule type="duplicateValues" dxfId="0" priority="18"/>
  </conditionalFormatting>
  <conditionalFormatting sqref="B350:B351">
    <cfRule type="duplicateValues" dxfId="0" priority="11"/>
    <cfRule type="duplicateValues" dxfId="0" priority="9"/>
  </conditionalFormatting>
  <conditionalFormatting sqref="C131:C132">
    <cfRule type="containsText" dxfId="1" priority="63" operator="between" text="{">
      <formula>NOT(ISERROR(SEARCH("{",C131)))</formula>
    </cfRule>
  </conditionalFormatting>
  <conditionalFormatting sqref="C309:C310">
    <cfRule type="containsText" dxfId="1" priority="33" operator="between" text="{">
      <formula>NOT(ISERROR(SEARCH("{",C309)))</formula>
    </cfRule>
  </conditionalFormatting>
  <conditionalFormatting sqref="C314:C315">
    <cfRule type="containsText" dxfId="1" priority="27" operator="between" text="{">
      <formula>NOT(ISERROR(SEARCH("{",C314)))</formula>
    </cfRule>
  </conditionalFormatting>
  <conditionalFormatting sqref="C318:C319">
    <cfRule type="containsText" dxfId="1" priority="19" operator="between" text="{">
      <formula>NOT(ISERROR(SEARCH("{",C318)))</formula>
    </cfRule>
  </conditionalFormatting>
  <conditionalFormatting sqref="C350:C351">
    <cfRule type="containsText" dxfId="1" priority="10" operator="between" text="{">
      <formula>NOT(ISERROR(SEARCH("{",C350)))</formula>
    </cfRule>
  </conditionalFormatting>
  <conditionalFormatting sqref="D298:D300">
    <cfRule type="containsText" dxfId="1" priority="43" operator="between" text="{">
      <formula>NOT(ISERROR(SEARCH("{",D298)))</formula>
    </cfRule>
  </conditionalFormatting>
  <conditionalFormatting sqref="D371:D372">
    <cfRule type="containsText" dxfId="1" priority="8" operator="between" text="{">
      <formula>NOT(ISERROR(SEARCH("{",D371)))</formula>
    </cfRule>
  </conditionalFormatting>
  <conditionalFormatting sqref="D394:D400">
    <cfRule type="containsText" dxfId="1" priority="3" operator="between" text="{">
      <formula>NOT(ISERROR(SEARCH("{",D394)))</formula>
    </cfRule>
  </conditionalFormatting>
  <conditionalFormatting sqref="E448:E454">
    <cfRule type="containsText" dxfId="1" priority="2" operator="between" text="{">
      <formula>NOT(ISERROR(SEARCH("{",E448)))</formula>
    </cfRule>
  </conditionalFormatting>
  <conditionalFormatting sqref="B1:B10 B12:B70 B72:B130 B133:B252 B255:B305 B307:B308 B312:B316 B320:B331 B333:B334 B336:B349 B352:B378 B380:B1048576">
    <cfRule type="duplicateValues" dxfId="0" priority="71"/>
  </conditionalFormatting>
  <conditionalFormatting sqref="B1:B252 B255:B305 B307:B308 B312:B316 B320:B334 B336:B349 B352:B378 B380:B1048576">
    <cfRule type="duplicateValues" dxfId="0" priority="62"/>
  </conditionalFormatting>
  <conditionalFormatting sqref="C1:C123 C126:C127 C129:C130 C133:C199 C201:C202 C206:C252 C254:C308 C313 C320:C334 C336:C349 C352:C378 C380:C1048576">
    <cfRule type="containsText" dxfId="1" priority="68"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1718</v>
      </c>
    </row>
    <row r="2" spans="1:3">
      <c r="A2" s="4" t="s">
        <v>842</v>
      </c>
      <c r="B2" s="5" t="s">
        <v>844</v>
      </c>
      <c r="C2" s="6" t="s">
        <v>1718</v>
      </c>
    </row>
    <row r="3" spans="1:3">
      <c r="A3" s="4" t="s">
        <v>845</v>
      </c>
      <c r="B3" s="5" t="s">
        <v>847</v>
      </c>
      <c r="C3" s="6" t="s">
        <v>1718</v>
      </c>
    </row>
    <row r="4" spans="1:3">
      <c r="A4" s="4" t="s">
        <v>848</v>
      </c>
      <c r="B4" s="5" t="s">
        <v>850</v>
      </c>
      <c r="C4" s="6" t="s">
        <v>1718</v>
      </c>
    </row>
    <row r="5" spans="1:3">
      <c r="A5" s="4" t="s">
        <v>851</v>
      </c>
      <c r="B5" s="5" t="s">
        <v>853</v>
      </c>
      <c r="C5" s="6" t="s">
        <v>1718</v>
      </c>
    </row>
    <row r="6" spans="1:3">
      <c r="A6" s="4" t="s">
        <v>1719</v>
      </c>
      <c r="B6" s="5" t="s">
        <v>1720</v>
      </c>
      <c r="C6" s="4" t="s">
        <v>744</v>
      </c>
    </row>
    <row r="7" spans="1:3">
      <c r="A7" s="4" t="s">
        <v>1721</v>
      </c>
      <c r="B7" s="7" t="s">
        <v>160</v>
      </c>
      <c r="C7" s="4" t="s">
        <v>158</v>
      </c>
    </row>
    <row r="8" spans="1:3">
      <c r="A8" s="4" t="s">
        <v>1722</v>
      </c>
      <c r="B8" s="7" t="s">
        <v>1723</v>
      </c>
      <c r="C8" s="4" t="s">
        <v>714</v>
      </c>
    </row>
    <row r="9" spans="1:4">
      <c r="A9" s="4" t="s">
        <v>1724</v>
      </c>
      <c r="B9" s="5" t="s">
        <v>1725</v>
      </c>
      <c r="C9" s="4" t="s">
        <v>212</v>
      </c>
      <c r="D9" s="4"/>
    </row>
    <row r="10" spans="1:3">
      <c r="A10" s="4" t="s">
        <v>1726</v>
      </c>
      <c r="B10" s="5" t="s">
        <v>1727</v>
      </c>
      <c r="C10" s="4" t="s">
        <v>140</v>
      </c>
    </row>
    <row r="11" spans="1:3">
      <c r="A11" s="4" t="s">
        <v>1728</v>
      </c>
      <c r="B11" s="5" t="s">
        <v>1729</v>
      </c>
      <c r="C11" s="4" t="s">
        <v>221</v>
      </c>
    </row>
    <row r="12" spans="1:3">
      <c r="A12" s="4" t="s">
        <v>1730</v>
      </c>
      <c r="B12" s="5" t="s">
        <v>1731</v>
      </c>
      <c r="C12" s="4" t="s">
        <v>312</v>
      </c>
    </row>
    <row r="13" spans="1:3">
      <c r="A13" s="4" t="s">
        <v>1732</v>
      </c>
      <c r="B13" s="5" t="s">
        <v>855</v>
      </c>
      <c r="C13" s="4" t="s">
        <v>854</v>
      </c>
    </row>
    <row r="14" spans="1:3">
      <c r="A14" s="4" t="s">
        <v>1733</v>
      </c>
      <c r="B14" s="5" t="s">
        <v>859</v>
      </c>
      <c r="C14" s="4" t="s">
        <v>857</v>
      </c>
    </row>
    <row r="15" spans="1:3">
      <c r="A15" s="4" t="s">
        <v>1734</v>
      </c>
      <c r="B15" s="5" t="s">
        <v>1735</v>
      </c>
      <c r="C15" s="4" t="s">
        <v>504</v>
      </c>
    </row>
    <row r="16" ht="27.6" spans="1:3">
      <c r="A16" s="4" t="s">
        <v>1736</v>
      </c>
      <c r="B16" s="5" t="s">
        <v>1737</v>
      </c>
      <c r="C16" s="8" t="s">
        <v>1738</v>
      </c>
    </row>
    <row r="17" spans="1:3">
      <c r="A17" s="4" t="s">
        <v>1739</v>
      </c>
      <c r="B17" s="5" t="s">
        <v>1740</v>
      </c>
      <c r="C17" s="4" t="s">
        <v>623</v>
      </c>
    </row>
    <row r="18" spans="1:3">
      <c r="A18" s="4" t="s">
        <v>1741</v>
      </c>
      <c r="B18" s="5" t="s">
        <v>1742</v>
      </c>
      <c r="C18" s="4" t="s">
        <v>134</v>
      </c>
    </row>
    <row r="19" spans="1:3">
      <c r="A19" s="4" t="s">
        <v>1743</v>
      </c>
      <c r="B19" s="5" t="s">
        <v>1744</v>
      </c>
      <c r="C19" s="4" t="s">
        <v>860</v>
      </c>
    </row>
    <row r="20" spans="1:3">
      <c r="A20" s="4" t="s">
        <v>863</v>
      </c>
      <c r="B20" s="5" t="s">
        <v>865</v>
      </c>
      <c r="C20" s="6" t="s">
        <v>1718</v>
      </c>
    </row>
    <row r="21" spans="1:3">
      <c r="A21" s="4" t="s">
        <v>1745</v>
      </c>
      <c r="B21" s="5" t="s">
        <v>868</v>
      </c>
      <c r="C21" s="4" t="s">
        <v>866</v>
      </c>
    </row>
    <row r="22" spans="1:3">
      <c r="A22" s="4" t="s">
        <v>1746</v>
      </c>
      <c r="B22" s="5" t="s">
        <v>1747</v>
      </c>
      <c r="C22" s="4" t="s">
        <v>71</v>
      </c>
    </row>
    <row r="23" spans="1:3">
      <c r="A23" s="4" t="s">
        <v>1748</v>
      </c>
      <c r="B23" s="5" t="s">
        <v>1749</v>
      </c>
      <c r="C23" s="4" t="s">
        <v>224</v>
      </c>
    </row>
    <row r="24" spans="1:3">
      <c r="A24" s="4" t="s">
        <v>1750</v>
      </c>
      <c r="B24" s="5" t="s">
        <v>1751</v>
      </c>
      <c r="C24" s="4" t="s">
        <v>379</v>
      </c>
    </row>
    <row r="25" spans="1:3">
      <c r="A25" s="4" t="s">
        <v>1752</v>
      </c>
      <c r="B25" s="5" t="s">
        <v>1227</v>
      </c>
      <c r="C25" s="4" t="s">
        <v>382</v>
      </c>
    </row>
    <row r="26" spans="1:3">
      <c r="A26" s="4" t="s">
        <v>1753</v>
      </c>
      <c r="B26" s="5" t="s">
        <v>1754</v>
      </c>
      <c r="C26" s="4" t="s">
        <v>721</v>
      </c>
    </row>
    <row r="27" spans="1:3">
      <c r="A27" s="4" t="s">
        <v>1755</v>
      </c>
      <c r="B27" s="5" t="s">
        <v>1756</v>
      </c>
      <c r="C27" s="4" t="s">
        <v>869</v>
      </c>
    </row>
    <row r="28" spans="1:3">
      <c r="A28" s="4" t="s">
        <v>1757</v>
      </c>
      <c r="B28" s="5" t="s">
        <v>1758</v>
      </c>
      <c r="C28" s="4" t="s">
        <v>50</v>
      </c>
    </row>
    <row r="29" spans="1:3">
      <c r="A29" s="4" t="s">
        <v>1759</v>
      </c>
      <c r="B29" s="7" t="s">
        <v>894</v>
      </c>
      <c r="C29" s="4" t="s">
        <v>893</v>
      </c>
    </row>
    <row r="30" spans="1:3">
      <c r="A30" s="4" t="s">
        <v>1760</v>
      </c>
      <c r="B30" s="5" t="s">
        <v>1761</v>
      </c>
      <c r="C30" s="4" t="s">
        <v>382</v>
      </c>
    </row>
    <row r="31" spans="1:3">
      <c r="A31" s="4" t="s">
        <v>1762</v>
      </c>
      <c r="B31" s="5" t="s">
        <v>1763</v>
      </c>
      <c r="C31" s="4" t="s">
        <v>648</v>
      </c>
    </row>
    <row r="32" spans="1:3">
      <c r="A32" s="4" t="s">
        <v>1764</v>
      </c>
      <c r="B32" s="5" t="s">
        <v>1765</v>
      </c>
      <c r="C32" s="4" t="s">
        <v>651</v>
      </c>
    </row>
    <row r="33" spans="1:3">
      <c r="A33" s="4" t="s">
        <v>872</v>
      </c>
      <c r="B33" s="5" t="s">
        <v>873</v>
      </c>
      <c r="C33" s="5" t="s">
        <v>1718</v>
      </c>
    </row>
    <row r="34" spans="1:3">
      <c r="A34" s="4" t="s">
        <v>875</v>
      </c>
      <c r="B34" s="5" t="s">
        <v>876</v>
      </c>
      <c r="C34" s="5" t="s">
        <v>1718</v>
      </c>
    </row>
    <row r="35" spans="1:3">
      <c r="A35" s="4" t="s">
        <v>878</v>
      </c>
      <c r="B35" s="5" t="s">
        <v>1766</v>
      </c>
      <c r="C35" s="8" t="s">
        <v>1718</v>
      </c>
    </row>
    <row r="36" spans="1:3">
      <c r="A36" s="4" t="s">
        <v>1767</v>
      </c>
      <c r="B36" s="5" t="s">
        <v>882</v>
      </c>
      <c r="C36" s="4" t="s">
        <v>881</v>
      </c>
    </row>
    <row r="37" spans="1:3">
      <c r="A37" s="4" t="s">
        <v>1768</v>
      </c>
      <c r="B37" s="5" t="s">
        <v>886</v>
      </c>
      <c r="C37" s="4" t="s">
        <v>884</v>
      </c>
    </row>
    <row r="38" spans="1:3">
      <c r="A38" s="4" t="s">
        <v>1769</v>
      </c>
      <c r="B38" s="5" t="s">
        <v>888</v>
      </c>
      <c r="C38" s="4" t="s">
        <v>887</v>
      </c>
    </row>
    <row r="39" spans="1:3">
      <c r="A39" s="4" t="s">
        <v>1770</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1771</v>
      </c>
      <c r="D5" s="1" t="s">
        <v>1772</v>
      </c>
      <c r="E5" s="1" t="s">
        <v>1773</v>
      </c>
      <c r="F5" s="1" t="s">
        <v>1774</v>
      </c>
      <c r="G5" s="1" t="s">
        <v>1775</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1776</v>
      </c>
      <c r="G7" s="2" t="s">
        <v>1777</v>
      </c>
    </row>
    <row r="8" ht="41.4" spans="2:7">
      <c r="B8" t="str">
        <f>"error"&amp;E8</f>
        <v>error102</v>
      </c>
      <c r="C8" s="2" t="s">
        <v>1338</v>
      </c>
      <c r="D8" s="2" t="s">
        <v>1339</v>
      </c>
      <c r="E8" s="2">
        <v>102</v>
      </c>
      <c r="F8" s="2" t="s">
        <v>1778</v>
      </c>
      <c r="G8" s="2" t="s">
        <v>1779</v>
      </c>
    </row>
    <row r="9" ht="55.2" spans="2:7">
      <c r="B9" t="str">
        <f t="shared" ref="B9:B28" si="0">"error"&amp;E9</f>
        <v>error200</v>
      </c>
      <c r="C9" s="2" t="s">
        <v>1343</v>
      </c>
      <c r="D9" s="2" t="s">
        <v>1344</v>
      </c>
      <c r="E9" s="2">
        <v>200</v>
      </c>
      <c r="F9" s="2" t="s">
        <v>1780</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1781</v>
      </c>
      <c r="G29" s="2" t="s">
        <v>1782</v>
      </c>
    </row>
    <row r="30" ht="82.8" spans="2:7">
      <c r="B30" t="str">
        <f>"error"&amp;E30</f>
        <v>error1002</v>
      </c>
      <c r="C30" s="2" t="s">
        <v>1404</v>
      </c>
      <c r="D30" s="2" t="s">
        <v>1405</v>
      </c>
      <c r="E30" s="2">
        <v>1002</v>
      </c>
      <c r="F30" s="2" t="s">
        <v>1783</v>
      </c>
      <c r="G30" s="2" t="s">
        <v>1784</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1785</v>
      </c>
      <c r="G32" s="2" t="s">
        <v>1410</v>
      </c>
    </row>
    <row r="33" ht="69" spans="2:7">
      <c r="B33" t="str">
        <f t="shared" si="1"/>
        <v>error10003</v>
      </c>
      <c r="C33" s="2" t="s">
        <v>1413</v>
      </c>
      <c r="D33" s="2" t="s">
        <v>1414</v>
      </c>
      <c r="E33" s="2">
        <v>10003</v>
      </c>
      <c r="F33" s="2" t="s">
        <v>1786</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1787</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1788</v>
      </c>
      <c r="G40" s="2" t="s">
        <v>1789</v>
      </c>
    </row>
    <row r="41" ht="165.6" spans="2:7">
      <c r="B41" t="str">
        <f t="shared" si="1"/>
        <v>error10013</v>
      </c>
      <c r="C41" s="2" t="s">
        <v>1436</v>
      </c>
      <c r="D41" s="2" t="s">
        <v>1437</v>
      </c>
      <c r="E41" s="2">
        <v>10013</v>
      </c>
      <c r="F41" s="2" t="s">
        <v>1790</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1791</v>
      </c>
      <c r="G43" s="2" t="s">
        <v>1792</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1793</v>
      </c>
      <c r="G57" s="2" t="s">
        <v>1794</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1795</v>
      </c>
      <c r="G104" s="2" t="s">
        <v>1796</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2023-03-22T06:41:36Z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
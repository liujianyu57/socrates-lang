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多语言!$A$2:$U$646</definedName>
  </definedNames>
  <calcPr calcId="144525"/>
</workbook>
</file>

<file path=xl/sharedStrings.xml><?xml version="1.0" encoding="utf-8"?>
<sst xmlns="http://schemas.openxmlformats.org/spreadsheetml/2006/main" count="2558" uniqueCount="1899">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</sst>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46"/>
  <sheetViews>
    <sheetView tabSelected="1" zoomScale="115" zoomScaleNormal="115" workbookViewId="0">
      <pane ySplit="2" topLeftCell="A623" activePane="bottomLeft" state="frozen"/>
      <selection/>
      <selection pane="bottomLeft" activeCell="H636" sqref="H636"/>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"创建成功",</v>
      </c>
      <c r="J399" s="13" t="str">
        <f t="shared" si="79"/>
        <v>  "textAskSuccess": "Successfully created",</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9"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31" si="135">"  """&amp;$B619&amp;""": """&amp;C619&amp;""""&amp;IF(COUNTA($B620)=1,",","")</f>
        <v>  "textNoNotice": "还没有任何通知",</v>
      </c>
      <c r="J619" s="13" t="str">
        <f t="shared" ref="J619:J631" si="136">"  """&amp;$B619&amp;""": """&amp;D619&amp;""""&amp;IF(COUNTA($B620)=1,",","")</f>
        <v>  "textNoNotice": "No notice",</v>
      </c>
      <c r="K619" s="13" t="str">
        <f t="shared" ref="K619:K631" si="137">"  """&amp;$B619&amp;""": """&amp;E619&amp;""""&amp;IF(COUNTA($B620)=1,",","")</f>
        <v>  "textNoNotice": "",</v>
      </c>
      <c r="L619" s="13" t="str">
        <f t="shared" ref="L619:L631" si="138">"  """&amp;$B619&amp;""": """&amp;F619&amp;""""&amp;IF(COUNTA($B620)=1,",","")</f>
        <v>  "textNoNotice": "",</v>
      </c>
      <c r="M619" s="13" t="str">
        <f t="shared" ref="M619:M631"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ref="I625:I632" si="140">"  """&amp;$B625&amp;""": """&amp;C625&amp;""""&amp;IF(COUNTA($B626)=1,",","")</f>
        <v>  "textScanToReceive": "扫描地址接收付款",</v>
      </c>
      <c r="J625" s="13" t="str">
        <f t="shared" ref="J625:J632" si="141">"  """&amp;$B625&amp;""": """&amp;D625&amp;""""&amp;IF(COUNTA($B626)=1,",","")</f>
        <v>  "textScanToReceive": "Scan address to receive payment",</v>
      </c>
      <c r="K625" s="13" t="str">
        <f t="shared" ref="K625:K632" si="142">"  """&amp;$B625&amp;""": """&amp;E625&amp;""""&amp;IF(COUNTA($B626)=1,",","")</f>
        <v>  "textScanToReceive": "",</v>
      </c>
      <c r="L625" s="13" t="str">
        <f t="shared" ref="L625:L632" si="143">"  """&amp;$B625&amp;""": """&amp;F625&amp;""""&amp;IF(COUNTA($B626)=1,",","")</f>
        <v>  "textScanToReceive": "",</v>
      </c>
      <c r="M625" s="13" t="str">
        <f t="shared" ref="M625:M632" si="144">"  """&amp;$B625&amp;""": """&amp;G625&amp;""""&amp;IF(COUNTA($B626)=1,",","")</f>
        <v>  "textScanToReceive": "",</v>
      </c>
    </row>
    <row r="626" spans="1:13">
      <c r="A626" s="25">
        <f t="shared" si="124"/>
        <v>100624</v>
      </c>
      <c r="B626" s="4" t="s">
        <v>1794</v>
      </c>
      <c r="C626" s="7" t="s">
        <v>1795</v>
      </c>
      <c r="D626" s="10" t="s">
        <v>1796</v>
      </c>
      <c r="I626" s="13" t="str">
        <f t="shared" si="140"/>
        <v>  "textStatus": "状态",</v>
      </c>
      <c r="J626" s="13" t="str">
        <f t="shared" si="141"/>
        <v>  "textStatus": "Status",</v>
      </c>
      <c r="K626" s="13" t="str">
        <f t="shared" si="142"/>
        <v>  "textStatus": "",</v>
      </c>
      <c r="L626" s="13" t="str">
        <f t="shared" si="143"/>
        <v>  "textStatus": "",</v>
      </c>
      <c r="M626" s="13" t="str">
        <f t="shared" si="144"/>
        <v>  "textStatus": "",</v>
      </c>
    </row>
    <row r="627" spans="1:13">
      <c r="A627" s="25">
        <f t="shared" ref="A627:A646" si="145">IF(COUNTA(B627)=1,100000+ROW(B627)-2,"")</f>
        <v>100625</v>
      </c>
      <c r="B627" s="4" t="s">
        <v>1797</v>
      </c>
      <c r="C627" s="7" t="s">
        <v>1798</v>
      </c>
      <c r="D627" s="10" t="s">
        <v>1799</v>
      </c>
      <c r="I627" s="13" t="str">
        <f t="shared" si="140"/>
        <v>  "textDate": "日期",</v>
      </c>
      <c r="J627" s="13" t="str">
        <f t="shared" si="141"/>
        <v>  "textDate": "Date",</v>
      </c>
      <c r="K627" s="13" t="str">
        <f t="shared" si="142"/>
        <v>  "textDate": "",</v>
      </c>
      <c r="L627" s="13" t="str">
        <f t="shared" si="143"/>
        <v>  "textDate": "",</v>
      </c>
      <c r="M627" s="13" t="str">
        <f t="shared" si="144"/>
        <v>  "textDate": "",</v>
      </c>
    </row>
    <row r="628" ht="41.4" spans="1:13">
      <c r="A628" s="25">
        <f t="shared" si="145"/>
        <v>100626</v>
      </c>
      <c r="B628" s="4" t="s">
        <v>1800</v>
      </c>
      <c r="C628" s="7" t="s">
        <v>1801</v>
      </c>
      <c r="D628" s="10" t="s">
        <v>1802</v>
      </c>
      <c r="I628" s="13" t="str">
        <f t="shared" si="140"/>
        <v>  "textImportWalletDescription": "请输入web3钱包的助记词完成导入",</v>
      </c>
      <c r="J628" s="13" t="str">
        <f t="shared" si="141"/>
        <v>  "textImportWalletDescription": "Please enter the seed phrase of the web3 wallet to complete the import",</v>
      </c>
      <c r="K628" s="13" t="str">
        <f t="shared" si="142"/>
        <v>  "textImportWalletDescription": "",</v>
      </c>
      <c r="L628" s="13" t="str">
        <f t="shared" si="143"/>
        <v>  "textImportWalletDescription": "",</v>
      </c>
      <c r="M628" s="13" t="str">
        <f t="shared" si="144"/>
        <v>  "textImportWalletDescription": "",</v>
      </c>
    </row>
    <row r="629" spans="1:13">
      <c r="A629" s="25">
        <f t="shared" si="145"/>
        <v>100627</v>
      </c>
      <c r="B629" s="4" t="s">
        <v>1803</v>
      </c>
      <c r="C629" s="7" t="s">
        <v>1804</v>
      </c>
      <c r="D629" s="10" t="s">
        <v>1805</v>
      </c>
      <c r="I629" s="13" t="str">
        <f>"  """&amp;$B629&amp;""": """&amp;C629&amp;""""&amp;IF(COUNTA($B630)=1,",","")</f>
        <v>  "btnCopy": "复制",</v>
      </c>
      <c r="J629" s="13" t="str">
        <f>"  """&amp;$B629&amp;""": """&amp;D629&amp;""""&amp;IF(COUNTA($B630)=1,",","")</f>
        <v>  "btnCopy": "Copy",</v>
      </c>
      <c r="K629" s="13" t="str">
        <f>"  """&amp;$B629&amp;""": """&amp;E629&amp;""""&amp;IF(COUNTA($B630)=1,",","")</f>
        <v>  "btnCopy": "",</v>
      </c>
      <c r="L629" s="13" t="str">
        <f>"  """&amp;$B629&amp;""": """&amp;F629&amp;""""&amp;IF(COUNTA($B630)=1,",","")</f>
        <v>  "btnCopy": "",</v>
      </c>
      <c r="M629" s="13" t="str">
        <f>"  """&amp;$B629&amp;""": """&amp;G629&amp;""""&amp;IF(COUNTA($B630)=1,",","")</f>
        <v>  "btnCopy": "",</v>
      </c>
    </row>
    <row r="630" spans="1:13">
      <c r="A630" s="25">
        <f t="shared" si="145"/>
        <v>100628</v>
      </c>
      <c r="B630" s="4" t="s">
        <v>1806</v>
      </c>
      <c r="C630" s="7" t="s">
        <v>1807</v>
      </c>
      <c r="D630" s="10" t="s">
        <v>1808</v>
      </c>
      <c r="I630" s="13" t="str">
        <f>"  """&amp;$B630&amp;""": """&amp;C630&amp;""""&amp;IF(COUNTA($B631)=1,",","")</f>
        <v>  "btnFollowBack": "回关",</v>
      </c>
      <c r="J630" s="13" t="str">
        <f>"  """&amp;$B630&amp;""": """&amp;D630&amp;""""&amp;IF(COUNTA($B631)=1,",","")</f>
        <v>  "btnFollowBack": "Follow back",</v>
      </c>
      <c r="K630" s="13" t="str">
        <f>"  """&amp;$B630&amp;""": """&amp;E630&amp;""""&amp;IF(COUNTA($B631)=1,",","")</f>
        <v>  "btnFollowBack": "",</v>
      </c>
      <c r="L630" s="13" t="str">
        <f>"  """&amp;$B630&amp;""": """&amp;F630&amp;""""&amp;IF(COUNTA($B631)=1,",","")</f>
        <v>  "btnFollowBack": "",</v>
      </c>
      <c r="M630" s="13" t="str">
        <f>"  """&amp;$B630&amp;""": """&amp;G630&amp;""""&amp;IF(COUNTA($B631)=1,",","")</f>
        <v>  "btnFollowBack": "",</v>
      </c>
    </row>
    <row r="631" spans="1:13">
      <c r="A631" s="25">
        <f t="shared" si="145"/>
        <v>100629</v>
      </c>
      <c r="B631" s="4" t="s">
        <v>1809</v>
      </c>
      <c r="C631" s="7" t="s">
        <v>1810</v>
      </c>
      <c r="D631" s="10" t="s">
        <v>1811</v>
      </c>
      <c r="I631" s="13" t="str">
        <f>"  """&amp;$B631&amp;""": """&amp;C631&amp;""""&amp;IF(COUNTA($B632)=1,",","")</f>
        <v>  "textAskFailed": "创建失败",</v>
      </c>
      <c r="J631" s="13" t="str">
        <f>"  """&amp;$B631&amp;""": """&amp;D631&amp;""""&amp;IF(COUNTA($B632)=1,",","")</f>
        <v>  "textAskFailed": "Creation failed",</v>
      </c>
      <c r="K631" s="13" t="str">
        <f>"  """&amp;$B631&amp;""": """&amp;E631&amp;""""&amp;IF(COUNTA($B632)=1,",","")</f>
        <v>  "textAskFailed": "",</v>
      </c>
      <c r="L631" s="13" t="str">
        <f>"  """&amp;$B631&amp;""": """&amp;F631&amp;""""&amp;IF(COUNTA($B632)=1,",","")</f>
        <v>  "textAskFailed": "",</v>
      </c>
      <c r="M631" s="13" t="str">
        <f>"  """&amp;$B631&amp;""": """&amp;G631&amp;""""&amp;IF(COUNTA($B632)=1,",","")</f>
        <v>  "textAskFailed": "",</v>
      </c>
    </row>
    <row r="632" spans="1:13">
      <c r="A632" s="25">
        <f t="shared" si="145"/>
        <v>100630</v>
      </c>
      <c r="B632" s="4" t="s">
        <v>1812</v>
      </c>
      <c r="C632" s="7" t="s">
        <v>1813</v>
      </c>
      <c r="D632" s="10" t="s">
        <v>1814</v>
      </c>
      <c r="I632" s="13" t="str">
        <f>"  """&amp;$B632&amp;""": """&amp;C632&amp;""""&amp;IF(COUNTA($B633)=1,",","")</f>
        <v>  "textImageLoading": "图片正在加载中...",</v>
      </c>
      <c r="J632" s="13" t="str">
        <f>"  """&amp;$B632&amp;""": """&amp;D632&amp;""""&amp;IF(COUNTA($B633)=1,",","")</f>
        <v>  "textImageLoading": "Image is loading...",</v>
      </c>
      <c r="K632" s="13" t="str">
        <f>"  """&amp;$B632&amp;""": """&amp;E632&amp;""""&amp;IF(COUNTA($B633)=1,",","")</f>
        <v>  "textImageLoading": "",</v>
      </c>
      <c r="L632" s="13" t="str">
        <f>"  """&amp;$B632&amp;""": """&amp;F632&amp;""""&amp;IF(COUNTA($B633)=1,",","")</f>
        <v>  "textImageLoading": "",</v>
      </c>
      <c r="M632" s="13" t="str">
        <f>"  """&amp;$B632&amp;""": """&amp;G632&amp;""""&amp;IF(COUNTA($B633)=1,",","")</f>
        <v>  "textImageLoading": "",</v>
      </c>
    </row>
    <row r="633" spans="1:13">
      <c r="A633" s="25">
        <f t="shared" si="145"/>
        <v>100631</v>
      </c>
      <c r="B633" s="4" t="s">
        <v>1815</v>
      </c>
      <c r="C633" s="7" t="s">
        <v>1816</v>
      </c>
      <c r="D633" s="10" t="s">
        <v>1817</v>
      </c>
      <c r="I633" s="13" t="str">
        <f>"  """&amp;$B633&amp;""": """&amp;C633&amp;""""&amp;IF(COUNTA($B634)=1,",","")</f>
        <v>  "tipsSelectChannel": "请选择1个频道"</v>
      </c>
      <c r="J633" s="13" t="str">
        <f>"  """&amp;$B633&amp;""": """&amp;D633&amp;""""&amp;IF(COUNTA($B634)=1,",","")</f>
        <v>  "tipsSelectChannel": "Please select a channel"</v>
      </c>
      <c r="K633" s="13" t="str">
        <f>"  """&amp;$B633&amp;""": """&amp;E633&amp;""""&amp;IF(COUNTA($B634)=1,",","")</f>
        <v>  "tipsSelectChannel": ""</v>
      </c>
      <c r="L633" s="13" t="str">
        <f>"  """&amp;$B633&amp;""": """&amp;F633&amp;""""&amp;IF(COUNTA($B634)=1,",","")</f>
        <v>  "tipsSelectChannel": ""</v>
      </c>
      <c r="M633" s="13" t="str">
        <f>"  """&amp;$B633&amp;""": """&amp;G633&amp;""""&amp;IF(COUNTA($B634)=1,",","")</f>
        <v>  "tipsSelectChannel": ""</v>
      </c>
    </row>
    <row r="634" spans="1:13">
      <c r="A634" s="25" t="str">
        <f t="shared" si="145"/>
        <v/>
      </c>
      <c r="I634" s="13" t="s">
        <v>1818</v>
      </c>
      <c r="J634" s="13" t="s">
        <v>1818</v>
      </c>
      <c r="K634" s="13" t="s">
        <v>1818</v>
      </c>
      <c r="L634" s="13" t="s">
        <v>1818</v>
      </c>
      <c r="M634" s="13" t="s">
        <v>1818</v>
      </c>
    </row>
    <row r="635" spans="1:1">
      <c r="A635" s="25" t="str">
        <f t="shared" si="145"/>
        <v/>
      </c>
    </row>
    <row r="636" spans="1:1">
      <c r="A636" s="25" t="str">
        <f t="shared" si="145"/>
        <v/>
      </c>
    </row>
    <row r="637" spans="1:1">
      <c r="A637" s="25" t="str">
        <f t="shared" si="145"/>
        <v/>
      </c>
    </row>
    <row r="638" spans="1:1">
      <c r="A638" s="25" t="str">
        <f t="shared" si="145"/>
        <v/>
      </c>
    </row>
    <row r="639" spans="1:1">
      <c r="A639" s="25" t="str">
        <f t="shared" si="145"/>
        <v/>
      </c>
    </row>
    <row r="640" spans="1:1">
      <c r="A640" s="25" t="str">
        <f t="shared" si="145"/>
        <v/>
      </c>
    </row>
    <row r="641" spans="1:1">
      <c r="A641" s="25" t="str">
        <f t="shared" si="145"/>
        <v/>
      </c>
    </row>
    <row r="642" spans="1:1">
      <c r="A642" s="25" t="str">
        <f t="shared" si="145"/>
        <v/>
      </c>
    </row>
    <row r="643" spans="1:1">
      <c r="A643" s="25" t="str">
        <f t="shared" si="145"/>
        <v/>
      </c>
    </row>
    <row r="644" spans="1:1">
      <c r="A644" s="25" t="str">
        <f t="shared" si="145"/>
        <v/>
      </c>
    </row>
    <row r="645" spans="1:1">
      <c r="A645" s="25" t="str">
        <f t="shared" si="145"/>
        <v/>
      </c>
    </row>
    <row r="646" spans="1:1">
      <c r="A646" s="25" t="str">
        <f t="shared" si="145"/>
        <v/>
      </c>
    </row>
  </sheetData>
  <autoFilter ref="A2:U646">
    <sortState ref="A2:U64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1819</v>
      </c>
    </row>
    <row r="2" spans="1:3">
      <c r="A2" s="4" t="s">
        <v>842</v>
      </c>
      <c r="B2" s="5" t="s">
        <v>844</v>
      </c>
      <c r="C2" s="6" t="s">
        <v>1819</v>
      </c>
    </row>
    <row r="3" spans="1:3">
      <c r="A3" s="4" t="s">
        <v>845</v>
      </c>
      <c r="B3" s="5" t="s">
        <v>847</v>
      </c>
      <c r="C3" s="6" t="s">
        <v>1819</v>
      </c>
    </row>
    <row r="4" spans="1:3">
      <c r="A4" s="4" t="s">
        <v>848</v>
      </c>
      <c r="B4" s="5" t="s">
        <v>850</v>
      </c>
      <c r="C4" s="6" t="s">
        <v>1819</v>
      </c>
    </row>
    <row r="5" spans="1:3">
      <c r="A5" s="4" t="s">
        <v>851</v>
      </c>
      <c r="B5" s="5" t="s">
        <v>853</v>
      </c>
      <c r="C5" s="6" t="s">
        <v>1819</v>
      </c>
    </row>
    <row r="6" spans="1:3">
      <c r="A6" s="4" t="s">
        <v>1820</v>
      </c>
      <c r="B6" s="5" t="s">
        <v>1821</v>
      </c>
      <c r="C6" s="4" t="s">
        <v>744</v>
      </c>
    </row>
    <row r="7" spans="1:3">
      <c r="A7" s="4" t="s">
        <v>1822</v>
      </c>
      <c r="B7" s="7" t="s">
        <v>160</v>
      </c>
      <c r="C7" s="4" t="s">
        <v>158</v>
      </c>
    </row>
    <row r="8" spans="1:3">
      <c r="A8" s="4" t="s">
        <v>1823</v>
      </c>
      <c r="B8" s="7" t="s">
        <v>1824</v>
      </c>
      <c r="C8" s="4" t="s">
        <v>714</v>
      </c>
    </row>
    <row r="9" spans="1:4">
      <c r="A9" s="4" t="s">
        <v>1825</v>
      </c>
      <c r="B9" s="5" t="s">
        <v>1826</v>
      </c>
      <c r="C9" s="4" t="s">
        <v>212</v>
      </c>
      <c r="D9" s="4"/>
    </row>
    <row r="10" spans="1:3">
      <c r="A10" s="4" t="s">
        <v>1827</v>
      </c>
      <c r="B10" s="5" t="s">
        <v>1828</v>
      </c>
      <c r="C10" s="4" t="s">
        <v>140</v>
      </c>
    </row>
    <row r="11" spans="1:3">
      <c r="A11" s="4" t="s">
        <v>1829</v>
      </c>
      <c r="B11" s="5" t="s">
        <v>1830</v>
      </c>
      <c r="C11" s="4" t="s">
        <v>221</v>
      </c>
    </row>
    <row r="12" spans="1:3">
      <c r="A12" s="4" t="s">
        <v>1831</v>
      </c>
      <c r="B12" s="5" t="s">
        <v>1832</v>
      </c>
      <c r="C12" s="4" t="s">
        <v>312</v>
      </c>
    </row>
    <row r="13" spans="1:3">
      <c r="A13" s="4" t="s">
        <v>1833</v>
      </c>
      <c r="B13" s="5" t="s">
        <v>855</v>
      </c>
      <c r="C13" s="4" t="s">
        <v>854</v>
      </c>
    </row>
    <row r="14" spans="1:3">
      <c r="A14" s="4" t="s">
        <v>1834</v>
      </c>
      <c r="B14" s="5" t="s">
        <v>859</v>
      </c>
      <c r="C14" s="4" t="s">
        <v>857</v>
      </c>
    </row>
    <row r="15" spans="1:3">
      <c r="A15" s="4" t="s">
        <v>1835</v>
      </c>
      <c r="B15" s="5" t="s">
        <v>1836</v>
      </c>
      <c r="C15" s="4" t="s">
        <v>504</v>
      </c>
    </row>
    <row r="16" ht="27.6" spans="1:3">
      <c r="A16" s="4" t="s">
        <v>1837</v>
      </c>
      <c r="B16" s="5" t="s">
        <v>1838</v>
      </c>
      <c r="C16" s="8" t="s">
        <v>1839</v>
      </c>
    </row>
    <row r="17" spans="1:3">
      <c r="A17" s="4" t="s">
        <v>1840</v>
      </c>
      <c r="B17" s="5" t="s">
        <v>1841</v>
      </c>
      <c r="C17" s="4" t="s">
        <v>623</v>
      </c>
    </row>
    <row r="18" spans="1:3">
      <c r="A18" s="4" t="s">
        <v>1842</v>
      </c>
      <c r="B18" s="5" t="s">
        <v>1843</v>
      </c>
      <c r="C18" s="4" t="s">
        <v>134</v>
      </c>
    </row>
    <row r="19" spans="1:3">
      <c r="A19" s="4" t="s">
        <v>1844</v>
      </c>
      <c r="B19" s="5" t="s">
        <v>1845</v>
      </c>
      <c r="C19" s="4" t="s">
        <v>860</v>
      </c>
    </row>
    <row r="20" spans="1:3">
      <c r="A20" s="4" t="s">
        <v>863</v>
      </c>
      <c r="B20" s="5" t="s">
        <v>865</v>
      </c>
      <c r="C20" s="6" t="s">
        <v>1819</v>
      </c>
    </row>
    <row r="21" spans="1:3">
      <c r="A21" s="4" t="s">
        <v>1846</v>
      </c>
      <c r="B21" s="5" t="s">
        <v>868</v>
      </c>
      <c r="C21" s="4" t="s">
        <v>866</v>
      </c>
    </row>
    <row r="22" spans="1:3">
      <c r="A22" s="4" t="s">
        <v>1847</v>
      </c>
      <c r="B22" s="5" t="s">
        <v>1848</v>
      </c>
      <c r="C22" s="4" t="s">
        <v>71</v>
      </c>
    </row>
    <row r="23" spans="1:3">
      <c r="A23" s="4" t="s">
        <v>1849</v>
      </c>
      <c r="B23" s="5" t="s">
        <v>1850</v>
      </c>
      <c r="C23" s="4" t="s">
        <v>224</v>
      </c>
    </row>
    <row r="24" spans="1:3">
      <c r="A24" s="4" t="s">
        <v>1851</v>
      </c>
      <c r="B24" s="5" t="s">
        <v>1852</v>
      </c>
      <c r="C24" s="4" t="s">
        <v>379</v>
      </c>
    </row>
    <row r="25" spans="1:3">
      <c r="A25" s="4" t="s">
        <v>1853</v>
      </c>
      <c r="B25" s="5" t="s">
        <v>1228</v>
      </c>
      <c r="C25" s="4" t="s">
        <v>382</v>
      </c>
    </row>
    <row r="26" spans="1:3">
      <c r="A26" s="4" t="s">
        <v>1854</v>
      </c>
      <c r="B26" s="5" t="s">
        <v>1855</v>
      </c>
      <c r="C26" s="4" t="s">
        <v>721</v>
      </c>
    </row>
    <row r="27" spans="1:3">
      <c r="A27" s="4" t="s">
        <v>1856</v>
      </c>
      <c r="B27" s="5" t="s">
        <v>1857</v>
      </c>
      <c r="C27" s="4" t="s">
        <v>869</v>
      </c>
    </row>
    <row r="28" spans="1:3">
      <c r="A28" s="4" t="s">
        <v>1858</v>
      </c>
      <c r="B28" s="5" t="s">
        <v>1859</v>
      </c>
      <c r="C28" s="4" t="s">
        <v>50</v>
      </c>
    </row>
    <row r="29" spans="1:3">
      <c r="A29" s="4" t="s">
        <v>1860</v>
      </c>
      <c r="B29" s="7" t="s">
        <v>894</v>
      </c>
      <c r="C29" s="4" t="s">
        <v>893</v>
      </c>
    </row>
    <row r="30" spans="1:3">
      <c r="A30" s="4" t="s">
        <v>1861</v>
      </c>
      <c r="B30" s="5" t="s">
        <v>1862</v>
      </c>
      <c r="C30" s="4" t="s">
        <v>382</v>
      </c>
    </row>
    <row r="31" spans="1:3">
      <c r="A31" s="4" t="s">
        <v>1863</v>
      </c>
      <c r="B31" s="5" t="s">
        <v>1864</v>
      </c>
      <c r="C31" s="4" t="s">
        <v>648</v>
      </c>
    </row>
    <row r="32" spans="1:3">
      <c r="A32" s="4" t="s">
        <v>1865</v>
      </c>
      <c r="B32" s="5" t="s">
        <v>1866</v>
      </c>
      <c r="C32" s="4" t="s">
        <v>651</v>
      </c>
    </row>
    <row r="33" spans="1:3">
      <c r="A33" s="4" t="s">
        <v>872</v>
      </c>
      <c r="B33" s="5" t="s">
        <v>873</v>
      </c>
      <c r="C33" s="5" t="s">
        <v>1819</v>
      </c>
    </row>
    <row r="34" spans="1:3">
      <c r="A34" s="4" t="s">
        <v>875</v>
      </c>
      <c r="B34" s="5" t="s">
        <v>876</v>
      </c>
      <c r="C34" s="5" t="s">
        <v>1819</v>
      </c>
    </row>
    <row r="35" spans="1:3">
      <c r="A35" s="4" t="s">
        <v>878</v>
      </c>
      <c r="B35" s="5" t="s">
        <v>1867</v>
      </c>
      <c r="C35" s="8" t="s">
        <v>1819</v>
      </c>
    </row>
    <row r="36" spans="1:3">
      <c r="A36" s="4" t="s">
        <v>1868</v>
      </c>
      <c r="B36" s="5" t="s">
        <v>882</v>
      </c>
      <c r="C36" s="4" t="s">
        <v>881</v>
      </c>
    </row>
    <row r="37" spans="1:3">
      <c r="A37" s="4" t="s">
        <v>1869</v>
      </c>
      <c r="B37" s="5" t="s">
        <v>886</v>
      </c>
      <c r="C37" s="4" t="s">
        <v>884</v>
      </c>
    </row>
    <row r="38" spans="1:3">
      <c r="A38" s="4" t="s">
        <v>1870</v>
      </c>
      <c r="B38" s="5" t="s">
        <v>888</v>
      </c>
      <c r="C38" s="4" t="s">
        <v>887</v>
      </c>
    </row>
    <row r="39" spans="1:3">
      <c r="A39" s="4" t="s">
        <v>1871</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1872</v>
      </c>
      <c r="D5" s="1" t="s">
        <v>1873</v>
      </c>
      <c r="E5" s="1" t="s">
        <v>1874</v>
      </c>
      <c r="F5" s="1" t="s">
        <v>1875</v>
      </c>
      <c r="G5" s="1" t="s">
        <v>1876</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1877</v>
      </c>
      <c r="G7" s="2" t="s">
        <v>1878</v>
      </c>
    </row>
    <row r="8" ht="41.4" spans="2:7">
      <c r="B8" t="str">
        <f>"error"&amp;E8</f>
        <v>error102</v>
      </c>
      <c r="C8" s="2" t="s">
        <v>1339</v>
      </c>
      <c r="D8" s="2" t="s">
        <v>1340</v>
      </c>
      <c r="E8" s="2">
        <v>102</v>
      </c>
      <c r="F8" s="2" t="s">
        <v>1879</v>
      </c>
      <c r="G8" s="2" t="s">
        <v>1880</v>
      </c>
    </row>
    <row r="9" ht="55.2" spans="2:7">
      <c r="B9" t="str">
        <f t="shared" ref="B9:B30" si="0">"error"&amp;E9</f>
        <v>error200</v>
      </c>
      <c r="C9" s="2" t="s">
        <v>1344</v>
      </c>
      <c r="D9" s="2" t="s">
        <v>1345</v>
      </c>
      <c r="E9" s="2">
        <v>200</v>
      </c>
      <c r="F9" s="2" t="s">
        <v>1881</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1882</v>
      </c>
      <c r="G29" s="2" t="s">
        <v>1883</v>
      </c>
    </row>
    <row r="30" ht="82.8" spans="2:7">
      <c r="B30" t="str">
        <f t="shared" si="0"/>
        <v>error1002</v>
      </c>
      <c r="C30" s="2" t="s">
        <v>1405</v>
      </c>
      <c r="D30" s="2" t="s">
        <v>1406</v>
      </c>
      <c r="E30" s="2">
        <v>1002</v>
      </c>
      <c r="F30" s="2" t="s">
        <v>1884</v>
      </c>
      <c r="G30" s="2" t="s">
        <v>1885</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1886</v>
      </c>
      <c r="G32" s="2" t="s">
        <v>1411</v>
      </c>
    </row>
    <row r="33" ht="69" spans="2:7">
      <c r="B33" t="str">
        <f t="shared" si="1"/>
        <v>error10003</v>
      </c>
      <c r="C33" s="2" t="s">
        <v>1414</v>
      </c>
      <c r="D33" s="2" t="s">
        <v>1415</v>
      </c>
      <c r="E33" s="2">
        <v>10003</v>
      </c>
      <c r="F33" s="2" t="s">
        <v>1887</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1888</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1889</v>
      </c>
      <c r="G40" s="2" t="s">
        <v>1890</v>
      </c>
    </row>
    <row r="41" ht="165.6" spans="2:7">
      <c r="B41" t="str">
        <f t="shared" si="1"/>
        <v>error10013</v>
      </c>
      <c r="C41" s="2" t="s">
        <v>1437</v>
      </c>
      <c r="D41" s="2" t="s">
        <v>1438</v>
      </c>
      <c r="E41" s="2">
        <v>10013</v>
      </c>
      <c r="F41" s="2" t="s">
        <v>1891</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1892</v>
      </c>
      <c r="G43" s="2" t="s">
        <v>1893</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1894</v>
      </c>
      <c r="E49" s="2">
        <v>10021</v>
      </c>
      <c r="F49" s="2" t="s">
        <v>1894</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1895</v>
      </c>
      <c r="G57" s="2" t="s">
        <v>1896</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1897</v>
      </c>
      <c r="G104" s="2" t="s">
        <v>1898</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2023-04-24T02:36:21Z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
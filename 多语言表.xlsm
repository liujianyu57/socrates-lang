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多语言!$A$2:$U$832</definedName>
  </definedNames>
  <calcPr calcId="144525"/>
</workbook>
</file>

<file path=xl/sharedStrings.xml><?xml version="1.0" encoding="utf-8"?>
<sst xmlns="http://schemas.openxmlformats.org/spreadsheetml/2006/main" count="3279" uniqueCount="2557">
  <si>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</si>
  <si>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</si>
  <si>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</si>
  <si>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</si>
  <si>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</si>
  <si>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</si>
  <si>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</si>
  <si>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</si>
  <si>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</si>
  <si>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</si>
  <si>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</si>
  <si>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</si>
  <si>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</si>
  <si>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</si>
  <si>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</si>
  <si>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</si>
  <si>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</si>
  <si>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</si>
  <si>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</si>
  <si>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</si>
  <si>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</si>
  <si>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</si>
  <si>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</si>
  <si>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</si>
  <si>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</si>
  <si>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</si>
  <si>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</si>
  <si>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</si>
  <si>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</si>
  <si>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</si>
  <si>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</si>
  <si>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</si>
  <si>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</si>
  <si>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</si>
  <si>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</si>
  <si>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</si>
  <si>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</si>
  <si>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</si>
  <si>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</si>
  <si>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</si>
  <si>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</si>
  <si>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</si>
  <si>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</si>
  <si>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</si>
  <si>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</si>
  <si>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</si>
  <si>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</si>
  <si>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</si>
  <si>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</si>
  <si>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</si>
  <si>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</si>
  <si>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</si>
  <si>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</si>
  <si>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</si>
  <si>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</si>
  <si>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</si>
  <si>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</si>
  <si>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</si>
  <si>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</si>
  <si>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</si>
  <si>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</si>
  <si>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</si>
  <si>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</si>
  <si>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</si>
  <si>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</si>
  <si>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</si>
  <si>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</si>
  <si>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</si>
  <si>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</si>
  <si>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</si>
  <si>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</si>
  <si>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</si>
  <si>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</si>
  <si>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</si>
  <si>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</si>
  <si>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</si>
  <si>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</si>
  <si>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</si>
  <si>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</si>
  <si>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</si>
  <si>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</si>
  <si>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</si>
  <si>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</si>
  <si>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</si>
  <si>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</si>
  <si>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</si>
  <si>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</si>
  <si>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</si>
  <si>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</si>
  <si>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</si>
  <si>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</si>
  <si>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</si>
  <si>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</si>
  <si>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</si>
  <si>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</si>
  <si>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</si>
  <si>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</si>
  <si>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</si>
  <si>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</si>
  <si>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</si>
  <si>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</si>
  <si>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</si>
  <si>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</si>
  <si>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</si>
  <si>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</si>
  <si>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</si>
  <si>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</si>
  <si>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</si>
  <si>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</si>
  <si>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</si>
  <si>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</si>
  <si>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</si>
  <si>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</si>
  <si>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</si>
  <si>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</si>
  <si>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</si>
  <si>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</si>
  <si>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</si>
  <si>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</si>
  <si>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</si>
  <si>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</si>
  <si>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</si>
  <si>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</si>
  <si>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</si>
  <si>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</si>
  <si>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</si>
  <si>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</si>
  <si>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</si>
  <si>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</si>
  <si>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</si>
  <si>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</si>
  <si>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</si>
  <si>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</si>
  <si>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</si>
  <si>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</si>
  <si>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</si>
  <si>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</si>
  <si>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</si>
  <si>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</si>
  <si>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</si>
  <si>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</si>
  <si>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</si>
  <si>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</si>
  <si>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</si>
  <si>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</si>
  <si>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</si>
  <si>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</si>
  <si>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</si>
  <si>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</si>
  <si>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</si>
  <si>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</si>
  <si>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</si>
  <si>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</si>
  <si>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</si>
  <si>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</si>
  <si>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</si>
  <si>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</si>
  <si>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</si>
  <si>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</si>
  <si>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</si>
  <si>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</si>
  <si>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</si>
  <si>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</si>
  <si>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</si>
  <si>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</si>
  <si>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</si>
  <si>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</si>
  <si>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</si>
  <si>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</si>
  <si>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</si>
  <si>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</si>
  <si>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</si>
  <si>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</si>
  <si>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</si>
  <si>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</si>
  <si>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</si>
  <si>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</si>
  <si>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</si>
  <si>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</si>
  <si>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</si>
  <si>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</si>
  <si>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</si>
  <si>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</si>
  <si>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</si>
  <si>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</si>
  <si>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</si>
  <si>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</si>
  <si>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</si>
  <si>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</si>
  <si>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</si>
  <si>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</si>
  <si>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</si>
  <si>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</si>
  <si>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</si>
  <si>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</si>
  <si>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</si>
  <si>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</si>
  <si>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</si>
  <si>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</si>
  <si>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</si>
  <si>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</si>
  <si>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</si>
  <si>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</si>
  <si>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</si>
  <si>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</si>
  <si>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</si>
  <si>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</si>
  <si>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</si>
  <si>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</si>
  <si>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</si>
  <si>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</si>
  <si>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</si>
  <si>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</si>
  <si>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</si>
  <si>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</si>
  <si>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</si>
  <si>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</si>
  <si>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</si>
  <si>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</si>
  <si>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</si>
  <si>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</si>
  <si>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</si>
  <si>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</si>
  <si>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</si>
  <si>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</si>
  <si>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</si>
  <si>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</si>
  <si>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</si>
  <si>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</si>
  <si>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</si>
  <si>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</si>
  <si>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</si>
  <si>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</si>
  <si>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</si>
  <si>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</si>
  <si>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</si>
  <si>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</si>
  <si>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</si>
  <si>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</si>
  <si>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</si>
  <si>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</si>
  <si>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</si>
  <si>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</si>
  <si>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</si>
  <si>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</si>
  <si>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</si>
  <si>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</si>
  <si>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</si>
  <si>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</si>
  <si>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</si>
  <si>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</si>
  <si>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</si>
  <si>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</si>
  <si>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</si>
  <si>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</si>
  <si>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</si>
  <si>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</si>
  <si>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</si>
  <si>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</si>
  <si>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</si>
  <si>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</si>
  <si>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</si>
  <si>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</si>
  <si>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</si>
  <si>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</si>
  <si>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</si>
  <si>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</si>
  <si>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</si>
  <si>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</si>
  <si>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</si>
  <si>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</si>
  <si>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</si>
  <si>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</si>
  <si>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</si>
  <si>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</si>
  <si>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</si>
  <si>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</si>
  <si>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</si>
  <si>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</si>
  <si>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</si>
  <si>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</si>
  <si>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</si>
  <si>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</si>
  <si>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</si>
  <si>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</si>
  <si>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</si>
  <si>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</si>
  <si>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</si>
  <si>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</si>
  <si>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</si>
  <si>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</si>
  <si>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</si>
  <si>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</si>
  <si>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</si>
  <si>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</si>
  <si>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</si>
  <si>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</si>
  <si>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</si>
  <si>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</si>
  <si>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</si>
  <si>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</si>
  <si>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</si>
  <si>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</si>
  <si>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</si>
  <si>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</si>
  <si>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</si>
  <si>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</si>
  <si>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</si>
  <si>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</si>
  <si>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</si>
  <si>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</si>
  <si>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</si>
  <si>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</si>
  <si>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</si>
  <si>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</si>
  <si>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</si>
  <si>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</si>
  <si>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</si>
  <si>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</si>
  <si>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</si>
  <si>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</si>
  <si>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</si>
  <si>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</si>
  <si>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</si>
  <si>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</si>
  <si>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</si>
  <si>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</si>
  <si>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</si>
  <si>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</si>
  <si>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</si>
  <si>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</si>
  <si>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</si>
  <si>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</si>
  <si>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</si>
  <si>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</si>
  <si>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</si>
  <si>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</si>
  <si>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</si>
  <si>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</si>
  <si>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</si>
  <si>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</si>
  <si>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</si>
  <si>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</si>
  <si>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</si>
  <si>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</si>
  <si>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</si>
  <si>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</si>
  <si>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</si>
  <si>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</si>
  <si>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</si>
  <si>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</si>
  <si>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</si>
  <si>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</si>
  <si>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</si>
  <si>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</si>
  <si>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</si>
  <si>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</si>
  <si>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</si>
  <si>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</si>
  <si>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</si>
  <si>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</si>
  <si>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</si>
  <si>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</si>
  <si>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</si>
  <si>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</si>
  <si>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</si>
  <si>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</si>
  <si>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</si>
  <si>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</si>
  <si>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</si>
  <si>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</si>
  <si>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</si>
  <si>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</si>
  <si>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</si>
  <si>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</si>
  <si>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</si>
  <si>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</si>
  <si>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</si>
  <si>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</si>
  <si>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</si>
  <si>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</si>
  <si>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</si>
  <si>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</si>
  <si>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</si>
  <si>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</si>
  <si>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</si>
  <si>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</si>
  <si>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</si>
  <si>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</si>
  <si>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</si>
  <si>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</si>
  <si>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</si>
  <si>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</si>
  <si>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</si>
  <si>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</si>
  <si>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</si>
  <si>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</si>
  <si>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</si>
  <si>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</si>
  <si>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</si>
  <si>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</si>
  <si>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</si>
  <si>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</si>
  <si>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</si>
  <si>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</si>
  <si>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</si>
  <si>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</si>
  <si>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</si>
  <si>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</si>
  <si>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</si>
  <si>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</si>
  <si>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</si>
  <si>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</si>
  <si>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</si>
  <si>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</si>
  <si>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</si>
  <si>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</si>
  <si>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</si>
  <si>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</si>
  <si>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</si>
  <si>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</si>
  <si>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</si>
  <si>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</si>
  <si>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</si>
  <si>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</si>
  <si>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</si>
  <si>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</si>
  <si>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</si>
  <si>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</si>
  <si>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</si>
  <si>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</si>
  <si>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</si>
  <si>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</si>
  <si>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</si>
  <si>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</si>
  <si>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</si>
  <si>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</si>
  <si>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</si>
  <si>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</si>
  <si>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</si>
  <si>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</si>
  <si>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</si>
  <si>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</si>
  <si>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</si>
  <si>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</si>
  <si>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</si>
  <si>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</si>
  <si>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</si>
  <si>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</si>
  <si>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</si>
  <si>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</si>
  <si>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</si>
  <si>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</si>
  <si>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</si>
  <si>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</si>
  <si>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</si>
  <si>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</si>
  <si>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</si>
  <si>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</si>
  <si>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</si>
  <si>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</si>
  <si>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</si>
  <si>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</si>
  <si>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</si>
  <si>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</si>
  <si>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</si>
  <si>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</si>
  <si>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</si>
  <si>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</si>
  <si>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</si>
  <si>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</si>
  <si>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</si>
  <si>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</si>
  <si>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</si>
  <si>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</si>
  <si>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</si>
  <si>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</si>
  <si>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</si>
  <si>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</si>
  <si>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</si>
  <si>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</si>
  <si>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</si>
  <si>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</si>
  <si>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</si>
  <si>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</si>
  <si>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</si>
  <si>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</si>
  <si>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</si>
  <si>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</si>
  <si>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</si>
  <si>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</si>
  <si>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</si>
  <si>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</si>
  <si>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</si>
  <si>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</si>
  <si>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</si>
  <si>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</si>
  <si>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</si>
  <si>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</si>
  <si>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</si>
  <si>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</si>
  <si>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</si>
  <si>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</si>
  <si>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</si>
  <si>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</si>
  <si>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</si>
  <si>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</si>
  <si>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</si>
  <si>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</si>
  <si>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</si>
  <si>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</si>
  <si>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</si>
  <si>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</si>
  <si>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</si>
  <si>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</si>
  <si>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</si>
  <si>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</si>
  <si>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</si>
  <si>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</si>
  <si>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</si>
  <si>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</si>
  <si>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</si>
  <si>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</si>
  <si>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</si>
  <si>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</si>
  <si>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</si>
  <si>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</si>
  <si>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</si>
  <si>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</si>
  <si>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</si>
  <si>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</si>
  <si>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</si>
  <si>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</si>
  <si>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</si>
  <si>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</si>
  <si>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</si>
  <si>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</si>
  <si>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</si>
  <si>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</si>
  <si>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</si>
  <si>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</si>
  <si>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</si>
  <si>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</si>
  <si>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</si>
  <si>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</si>
  <si>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</si>
  <si>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</si>
  <si>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</si>
  <si>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</si>
  <si>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</si>
  <si>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</si>
  <si>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</si>
  <si>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</si>
  <si>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</si>
  <si>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</si>
  <si>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</si>
  <si>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</si>
  <si>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</si>
  <si>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</si>
  <si>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</si>
  <si>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</si>
  <si>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</si>
  <si>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</si>
  <si>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</si>
  <si>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</si>
  <si>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</si>
  <si>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</si>
  <si>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</si>
  <si>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</si>
  <si>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</si>
  <si>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</si>
  <si>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</si>
  <si>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</si>
  <si>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</si>
  <si>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</si>
  <si>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</si>
  <si>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</si>
  <si>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</si>
  <si>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</si>
  <si>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</si>
  <si>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</si>
  <si>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</si>
  <si>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</si>
  <si>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</si>
  <si>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</si>
  <si>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</si>
  <si>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</si>
  <si>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</si>
  <si>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</si>
  <si>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</si>
  <si>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</si>
  <si>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</si>
  <si>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</si>
  <si>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</si>
  <si>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</si>
  <si>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</si>
  <si>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</si>
  <si>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</si>
  <si>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</si>
  <si>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</si>
  <si>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</si>
  <si>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</si>
  <si>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</si>
  <si>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</si>
  <si>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</si>
  <si>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</si>
  <si>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</si>
  <si>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</si>
  <si>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</si>
  <si>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</si>
  <si>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</si>
  <si>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</si>
  <si>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</si>
  <si>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</si>
  <si>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</si>
  <si>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</si>
  <si>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</si>
  <si>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</si>
  <si>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</si>
  <si>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</si>
  <si>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</si>
  <si>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</si>
  <si>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</si>
  <si>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</si>
  <si>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</si>
  <si>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</si>
  <si>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</si>
  <si>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</si>
  <si>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</si>
  <si>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</si>
  <si>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</si>
  <si>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</si>
  <si>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</si>
  <si>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</si>
  <si>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</si>
  <si>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</si>
  <si>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</si>
  <si>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</si>
  <si>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</si>
  <si>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</si>
  <si>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</si>
  <si>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</si>
  <si>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</si>
  <si>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</si>
  <si>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</si>
  <si>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</si>
  <si>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</si>
  <si>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</si>
  <si>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</si>
  <si>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</si>
  <si>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</si>
  <si>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</si>
  <si>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</si>
  <si>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</si>
  <si>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</si>
  <si>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</si>
  <si>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</si>
  <si>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</si>
  <si>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</si>
  <si>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</si>
  <si>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</si>
  <si>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</si>
  <si>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</si>
  <si>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</si>
  <si>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</si>
  <si>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</si>
  <si>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</si>
  <si>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</si>
  <si>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</si>
  <si>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</si>
  <si>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</si>
  <si>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</si>
  <si>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</si>
  <si>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</si>
  <si>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</si>
  <si>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</si>
  <si>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</si>
  <si>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</si>
  <si>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</si>
  <si>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</si>
  <si>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</si>
  <si>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</si>
  <si>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</si>
  <si>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</si>
  <si>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</si>
  <si>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</si>
  <si>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</si>
  <si>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</si>
  <si>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</si>
  <si>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</si>
  <si>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</si>
  <si>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</si>
  <si>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</si>
  <si>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</si>
  <si>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</si>
  <si>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</si>
  <si>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</si>
  <si>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</si>
  <si>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</si>
  <si>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</si>
  <si>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</si>
  <si>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</si>
  <si>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</si>
  <si>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</si>
  <si>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</si>
  <si>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</si>
  <si>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</si>
  <si>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</si>
  <si>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</si>
  <si>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</si>
  <si>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</si>
  <si>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</si>
  <si>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</si>
  <si>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</si>
  <si>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</si>
  <si>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</si>
  <si>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</si>
  <si>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</si>
  <si>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</si>
  <si>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</si>
  <si>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</si>
  <si>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</si>
  <si>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</si>
  <si>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</si>
  <si>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</si>
  <si>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</si>
  <si>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</si>
  <si>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</si>
  <si>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</si>
  <si>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</si>
  <si>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</si>
  <si>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</si>
  <si>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</si>
  <si>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</si>
  <si>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</si>
  <si>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</si>
  <si>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</si>
  <si>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</si>
  <si>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</si>
  <si>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</si>
  <si>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</si>
  <si>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</si>
  <si>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</si>
  <si>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</si>
  <si>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</si>
  <si>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</si>
  <si>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</si>
  <si>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</si>
  <si>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</si>
  <si>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</si>
  <si>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</si>
  <si>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</si>
  <si>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</si>
  <si>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</si>
  <si>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</si>
  <si>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</si>
  <si>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</si>
  <si>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</si>
  <si>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</si>
  <si>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</si>
  <si>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</si>
  <si>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</si>
  <si>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</si>
  <si>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</si>
  <si>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</si>
  <si>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</si>
  <si>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</si>
  <si>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</si>
  <si>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</si>
  <si>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</si>
  <si>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</si>
  <si>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</si>
  <si>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</si>
  <si>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</si>
  <si>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</si>
  <si>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</si>
  <si>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</si>
  <si>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</si>
  <si>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</si>
  <si>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</si>
  <si>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</si>
  <si>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</si>
  <si>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</si>
  <si>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</si>
  <si>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</si>
  <si>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</si>
  <si>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</si>
  <si>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</si>
  <si>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</si>
  <si>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</si>
  <si>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</si>
  <si>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</si>
  <si>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</si>
  <si>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</si>
  <si>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</si>
  <si>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</si>
  <si>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</si>
  <si>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</si>
  <si>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</si>
  <si>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</si>
  <si>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</si>
  <si>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</si>
  <si>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</si>
  <si>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</si>
  <si>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</si>
  <si>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</si>
  <si>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</si>
  <si>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</si>
  <si>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</si>
  <si>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</si>
  <si>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</si>
  <si>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</si>
  <si>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</si>
  <si>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</si>
  <si>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</si>
  <si>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</si>
  <si>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</si>
  <si>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</si>
  <si>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</si>
  <si>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</si>
  <si>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</si>
  <si>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</si>
  <si>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</si>
  <si>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</si>
  <si>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</si>
  <si>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</si>
  <si>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</si>
  <si>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</si>
  <si>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</si>
  <si>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</si>
  <si>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</si>
  <si>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</si>
  <si>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</si>
  <si>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</si>
  <si>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</si>
  <si>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</si>
  <si>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</si>
  <si>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</si>
  <si>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</si>
  <si>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</si>
  <si>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</si>
  <si>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</si>
  <si>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</si>
  <si>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</si>
  <si>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</si>
  <si>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</si>
  <si>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</si>
  <si>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</si>
  <si>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</si>
  <si>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</si>
  <si>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</si>
  <si>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</si>
  <si>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</si>
  <si>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</si>
  <si>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</si>
  <si>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</si>
  <si>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</si>
  <si>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</si>
  <si>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</si>
  <si>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</si>
  <si>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</si>
  <si>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</si>
  <si>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</si>
  <si>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</si>
  <si>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</si>
  <si>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</si>
  <si>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</si>
  <si>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</si>
  <si>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</si>
  <si>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</si>
  <si>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</si>
  <si>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</si>
  <si>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</si>
  <si>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</si>
  <si>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</si>
  <si>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</si>
  <si>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</si>
  <si>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</si>
  <si>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</si>
  <si>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</si>
  <si>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</si>
  <si>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</si>
  <si>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</si>
  <si>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</si>
  <si>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</si>
  <si>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</si>
  <si>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</si>
  <si>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</si>
  <si>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</si>
  <si>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</si>
  <si>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</si>
  <si>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</si>
  <si>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</si>
  <si>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</si>
  <si>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</si>
  <si>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</si>
  <si>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</si>
  <si>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</si>
  <si>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</si>
  <si>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</si>
  <si>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</si>
  <si>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</si>
  <si>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</si>
  <si>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</si>
  <si>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</si>
  <si>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</si>
  <si>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</si>
  <si>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</si>
  <si>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</si>
  <si>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</si>
  <si>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</si>
  <si>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</si>
  <si>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</si>
  <si>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</si>
  <si>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</si>
  <si>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</si>
  <si>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</si>
  <si>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</si>
  <si>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</si>
  <si>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</si>
  <si>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</si>
  <si>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</si>
  <si>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</si>
  <si>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</si>
  <si>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</si>
  <si>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</si>
  <si>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</si>
  <si>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</si>
  <si>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</si>
  <si>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</si>
  <si>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</si>
  <si>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</si>
  <si>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</si>
  <si>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</si>
  <si>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</si>
  <si>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</si>
  <si>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</si>
  <si>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</si>
  <si>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</si>
  <si>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</si>
  <si>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</si>
  <si>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</si>
  <si>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</si>
  <si>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</si>
  <si>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</si>
  <si>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</si>
  <si>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</si>
  <si>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points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</si>
  <si>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</si>
  <si>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</si>
  <si>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</si>
  <si>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</si>
  <si>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</si>
  <si>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</si>
  <si>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</si>
  <si>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</si>
  <si>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</si>
  <si>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</si>
  <si>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</si>
  <si>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</si>
  <si>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</si>
  <si>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</si>
  <si>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</si>
  <si>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</si>
  <si>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</si>
  <si>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</si>
  <si>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</si>
  <si>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</si>
  <si>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</si>
  <si>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</si>
  <si>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</si>
  <si>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</si>
  <si>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</si>
  <si>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</si>
  <si>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</si>
  <si>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</si>
  <si>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</si>
  <si>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</si>
  <si>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</si>
  <si>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</si>
  <si>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</si>
  <si>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</si>
  <si>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</si>
  <si>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</si>
  <si>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</si>
  <si>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</si>
  <si>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</si>
  <si>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</si>
  <si>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</si>
  <si>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</si>
  <si>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</si>
  <si>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</si>
  <si>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</si>
  <si>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</si>
  <si>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</si>
  <si>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</si>
  <si>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</si>
  <si>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</si>
  <si>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</si>
  <si>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</si>
  <si>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</si>
  <si>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</si>
  <si>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</si>
  <si>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</si>
  <si>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</si>
  <si>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</si>
  <si>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</si>
  <si>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</si>
  <si>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</si>
  <si>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</si>
  <si>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</si>
  <si>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</si>
  <si>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</si>
  <si>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</si>
  <si>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</si>
  <si>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</si>
  <si>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</si>
  <si>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</si>
  <si>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</si>
  <si>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</si>
  <si>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</si>
  <si>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</si>
  <si>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</si>
  <si>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</si>
  <si>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</si>
  <si>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</si>
  <si>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</si>
  <si>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</si>
  <si>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</si>
  <si>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</si>
  <si>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</si>
  <si>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</si>
  <si>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</si>
  <si>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</si>
  <si>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</si>
  <si>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</si>
  <si>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</si>
  <si>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</si>
  <si>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</si>
  <si>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</si>
  <si>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</si>
  <si>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</si>
  <si>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</si>
  <si>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</si>
  <si>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</si>
  <si>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</si>
  <si>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</si>
  <si>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</si>
  <si>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</si>
  <si>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</si>
  <si>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</si>
  <si>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</si>
  <si>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</si>
  <si>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</si>
  <si>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</si>
  <si>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</si>
  <si>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</si>
  <si>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</si>
  <si>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</si>
  <si>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</si>
  <si>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</si>
  <si>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</si>
  <si>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</si>
  <si>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</si>
  <si>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</si>
  <si>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</si>
  <si>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</si>
  <si>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</si>
  <si>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</si>
  <si>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</si>
  <si>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</si>
  <si>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</si>
  <si>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</si>
  <si>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</si>
  <si>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</si>
  <si>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</si>
  <si>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</si>
  <si>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</si>
  <si>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</si>
  <si>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</si>
  <si>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</si>
  <si>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</si>
  <si>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</si>
  <si>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</si>
  <si>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</si>
  <si>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</si>
  <si>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</si>
  <si>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</si>
  <si>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</si>
  <si>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</si>
  <si>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</si>
  <si>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</si>
  <si>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</si>
  <si>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</si>
  <si>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</si>
  <si>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</si>
  <si>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</si>
  <si>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</si>
  <si>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</si>
  <si>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</si>
  <si>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</si>
  <si>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</si>
  <si>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</si>
  <si>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</si>
  <si>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</si>
  <si>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</si>
  <si>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</si>
  <si>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</si>
  <si>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</si>
  <si>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</si>
  <si>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</si>
  <si>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</si>
  <si>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</si>
  <si>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</si>
  <si>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</si>
  <si>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</si>
  <si>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</si>
  <si>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</si>
  <si>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</si>
  <si>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</si>
  <si>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</si>
  <si>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</si>
  <si>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</si>
  <si>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</si>
  <si>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</si>
  <si>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</si>
  <si>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</si>
  <si>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</si>
  <si>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</si>
  <si>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</si>
  <si>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</si>
  <si>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</si>
  <si>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</si>
  <si>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</si>
  <si>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</si>
  <si>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</si>
  <si>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</si>
  <si>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</si>
  <si>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</si>
  <si>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</si>
  <si>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</si>
  <si>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</si>
  <si>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</si>
  <si>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</si>
  <si>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</si>
  <si>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</si>
  <si>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</si>
  <si>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</si>
  <si>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</si>
  <si>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</si>
  <si>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</si>
  <si>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</si>
  <si>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</si>
  <si>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</si>
  <si>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</si>
  <si>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</si>
  <si>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</si>
  <si>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</si>
  <si>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</si>
  <si>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</si>
  <si>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</si>
  <si>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</si>
  <si>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</si>
  <si>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</si>
  <si>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</si>
  <si>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</si>
  <si>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</si>
  <si>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</si>
  <si>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</si>
  <si>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</si>
  <si>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</si>
  <si>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</si>
  <si>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</si>
  <si>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</si>
  <si>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</si>
  <si>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</si>
  <si>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</si>
  <si>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</si>
  <si>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</si>
  <si>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</si>
  <si>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</si>
  <si>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</si>
  <si>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</si>
  <si>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</si>
  <si>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</si>
  <si>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</si>
  <si>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</si>
  <si>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</si>
  <si>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</si>
  <si>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</si>
  <si>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</si>
  <si>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</si>
  <si>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</si>
  <si>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</si>
  <si>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</si>
  <si>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</si>
  <si>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</si>
  <si>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</si>
  <si>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</si>
  <si>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</si>
  <si>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</si>
  <si>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</si>
  <si>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</si>
  <si>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</si>
  <si>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</si>
  <si>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</si>
  <si>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</si>
  <si>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</si>
  <si>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</si>
  <si>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</si>
  <si>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</si>
  <si>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</si>
  <si>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</si>
  <si>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</si>
  <si>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</si>
  <si>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</si>
  <si>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</si>
  <si>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</si>
  <si>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</si>
  <si>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</si>
  <si>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</si>
  <si>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</si>
  <si>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</si>
  <si>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</si>
  <si>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</si>
  <si>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</si>
  <si>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</si>
  <si>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</si>
  <si>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</si>
  <si>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</si>
  <si>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</si>
  <si>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</si>
  <si>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</si>
  <si>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</si>
  <si>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</si>
  <si>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</si>
  <si>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</si>
  <si>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</si>
  <si>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</si>
  <si>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</si>
  <si>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</si>
  <si>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</si>
  <si>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</si>
  <si>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</si>
  <si>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</si>
  <si>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</si>
  <si>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</si>
  <si>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</si>
  <si>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</si>
  <si>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</si>
  <si>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</si>
  <si>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</si>
  <si>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</si>
  <si>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</si>
  <si>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</si>
  <si>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</si>
  <si>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</si>
  <si>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</si>
  <si>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</si>
  <si>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</si>
  <si>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</si>
  <si>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</si>
  <si>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</si>
  <si>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</si>
  <si>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</si>
  <si>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</si>
  <si>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</si>
  <si>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</si>
  <si>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</si>
  <si>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</si>
  <si>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</si>
  <si>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</si>
  <si>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</si>
  <si>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</si>
  <si>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</si>
  <si>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</si>
  <si>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</si>
  <si>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</si>
  <si>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</si>
  <si>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</si>
  <si>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</si>
  <si>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</si>
  <si>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</si>
  <si>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</si>
  <si>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</si>
  <si>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</si>
  <si>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</si>
  <si>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</si>
  <si>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</si>
  <si>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</si>
  <si>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</si>
  <si>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</si>
  <si>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</si>
  <si>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</si>
  <si>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</si>
  <si>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</si>
  <si>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</si>
  <si>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</si>
  <si>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</si>
  <si>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</si>
  <si>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</si>
  <si>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</si>
  <si>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</si>
  <si>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</si>
  <si>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</si>
  <si>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</si>
  <si>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</si>
  <si>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</si>
  <si>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</si>
  <si>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</si>
  <si>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</si>
  <si>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</si>
  <si>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</si>
  <si>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</si>
  <si>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</si>
  <si>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</si>
  <si>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</si>
  <si>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</si>
  <si>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</si>
  <si>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</si>
  <si>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</si>
  <si>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</si>
  <si>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</si>
  <si>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</si>
  <si>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</si>
  <si>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</si>
  <si>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</si>
  <si>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</si>
  <si>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</si>
  <si>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</si>
  <si>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</si>
  <si>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</si>
  <si>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</si>
  <si>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</si>
  <si>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</si>
  <si>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</si>
  <si>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</si>
  <si>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</si>
  <si>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</si>
  <si>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</si>
  <si>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</si>
  <si>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</si>
  <si>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</si>
  <si>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</si>
  <si>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</si>
  <si>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</si>
  <si>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</si>
  <si>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</si>
  <si>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</si>
  <si>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</si>
  <si>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</si>
  <si>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</si>
  <si>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</si>
  <si>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</si>
  <si>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</si>
  <si>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</si>
  <si>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</si>
  <si>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</si>
  <si>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</si>
  <si>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</si>
  <si>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</si>
  <si>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</si>
  <si>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</si>
  <si>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</si>
  <si>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</si>
  <si>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</si>
  <si>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</si>
  <si>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</si>
  <si>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</si>
  <si>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</si>
  <si>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</si>
  <si>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</si>
  <si>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</si>
  <si>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</si>
  <si>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</si>
  <si>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</si>
  <si>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</si>
  <si>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</si>
  <si>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</si>
  <si>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</si>
  <si>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</si>
  <si>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</si>
  <si>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</si>
  <si>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</si>
  <si>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</si>
  <si>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</si>
  <si>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</si>
  <si>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</si>
  <si>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</si>
  <si>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</si>
  <si>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</si>
  <si>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</si>
  <si>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</si>
  <si>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</si>
  <si>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</si>
  <si>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</si>
  <si>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</si>
  <si>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</si>
  <si>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</si>
  <si>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</si>
  <si>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</si>
  <si>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</si>
  <si>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</si>
  <si>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</si>
  <si>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</si>
  <si>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</si>
  <si>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</si>
  <si>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</si>
  <si>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</si>
  <si>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</si>
  <si>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</si>
  <si>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</si>
  <si>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</si>
  <si>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</si>
  <si>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</si>
  <si>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</si>
  <si>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</si>
  <si>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</si>
  <si>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</si>
  <si>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</si>
  <si>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</si>
  <si>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</si>
  <si>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</si>
  <si>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</si>
  <si>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</si>
  <si>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</si>
  <si>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</si>
  <si>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</si>
  <si>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</si>
  <si>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</si>
  <si>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</si>
  <si>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</si>
  <si>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</si>
  <si>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</si>
  <si>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</si>
  <si>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</si>
  <si>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</si>
  <si>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</si>
  <si>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</si>
  <si>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</si>
  <si>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</si>
  <si>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</si>
  <si>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</si>
  <si>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</si>
  <si>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</si>
  <si>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</si>
  <si>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</si>
  <si>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</si>
  <si>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</si>
  <si>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</si>
  <si>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</si>
  <si>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</si>
  <si>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</si>
  <si>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</si>
  <si>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</si>
  <si>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</si>
  <si>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</si>
  <si>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</si>
  <si>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</si>
  <si>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</si>
  <si>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</si>
  <si>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</si>
  <si>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</si>
  <si>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</si>
  <si>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</si>
  <si>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</si>
  <si>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</si>
  <si>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</si>
  <si>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</si>
  <si>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</si>
  <si>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</si>
  <si>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</si>
  <si>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</si>
  <si>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</si>
  <si>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</si>
  <si>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</si>
  <si>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</si>
  <si>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</si>
  <si>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</si>
  <si>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</si>
  <si>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</si>
  <si>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</si>
  <si>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</si>
  <si>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</si>
  <si>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</si>
  <si>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</si>
  <si>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</si>
  <si>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</si>
  <si>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</si>
  <si>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</si>
  <si>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</si>
  <si>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</si>
  <si>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</si>
  <si>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</si>
  <si>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</si>
  <si>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</si>
  <si>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</si>
  <si>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</si>
  <si>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</si>
  <si>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</si>
  <si>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</si>
  <si>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</si>
  <si>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</si>
  <si>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</si>
  <si>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</si>
  <si>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</si>
  <si>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</si>
  <si>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</si>
  <si>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</si>
  <si>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</si>
  <si>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</si>
  <si>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</si>
  <si>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</si>
  <si>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</si>
  <si>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</si>
  <si>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</si>
  <si>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</si>
  <si>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</si>
  <si>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</si>
  <si>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</si>
  <si>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</si>
  <si>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</si>
  <si>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</si>
  <si>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</si>
  <si>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</si>
  <si>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</si>
  <si>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</si>
  <si>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</si>
  <si>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</si>
  <si>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</si>
  <si>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</si>
  <si>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</si>
  <si>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</si>
  <si>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</si>
  <si>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</si>
  <si>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</si>
  <si>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</si>
  <si>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</si>
  <si>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</si>
  <si>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</si>
  <si>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</si>
  <si>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</si>
  <si>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</si>
  <si>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</si>
  <si>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</si>
  <si>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</si>
  <si>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</si>
  <si>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</si>
  <si>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</si>
  <si>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</si>
  <si>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</si>
  <si>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</si>
  <si>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</si>
  <si>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</si>
  <si>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</si>
  <si>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</si>
  <si>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</si>
  <si>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</si>
  <si>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</si>
  <si>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</si>
  <si>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</si>
  <si>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</si>
  <si>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</si>
  <si>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</si>
  <si>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</si>
  <si>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</si>
  <si>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</si>
  <si>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</si>
  <si>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</si>
  <si>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</si>
  <si>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</si>
  <si>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</si>
  <si>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</si>
  <si>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</si>
  <si>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</si>
  <si>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</si>
  <si>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</si>
  <si>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</si>
  <si>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</si>
  <si>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</si>
  <si>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</si>
  <si>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</si>
  <si>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</si>
  <si>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</si>
  <si>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</si>
  <si>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</si>
  <si>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</si>
  <si>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</si>
  <si>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</si>
  <si>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</si>
  <si>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</si>
  <si>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</si>
  <si>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</si>
  <si>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</si>
  <si>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</si>
  <si>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</si>
  <si>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</si>
  <si>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</si>
  <si>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</si>
  <si>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</si>
  <si>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</si>
  <si>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</si>
  <si>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</si>
  <si>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</si>
  <si>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</si>
  <si>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</si>
  <si>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</si>
  <si>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</si>
  <si>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</si>
  <si>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</si>
  <si>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</si>
  <si>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</si>
  <si>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</si>
  <si>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</si>
  <si>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</si>
  <si>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</si>
  <si>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</si>
  <si>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</si>
  <si>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</si>
  <si>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</si>
  <si>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</si>
  <si>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</si>
  <si>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</si>
  <si>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</si>
  <si>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</si>
  <si>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</si>
  <si>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</si>
  <si>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</si>
  <si>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</si>
  <si>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</si>
  <si>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</si>
  <si>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</si>
  <si>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</si>
  <si>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</si>
  <si>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</si>
  <si>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</si>
  <si>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</si>
  <si>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</si>
  <si>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</si>
  <si>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</si>
  <si>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</si>
  <si>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</si>
  <si>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</si>
  <si>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</si>
  <si>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</si>
  <si>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</si>
  <si>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</si>
  <si>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</si>
  <si>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</si>
  <si>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</si>
  <si>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</si>
  <si>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</si>
  <si>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</si>
  <si>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</si>
  <si>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</si>
  <si>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</si>
  <si>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</si>
  <si>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</si>
  <si>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</si>
  <si>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</si>
  <si>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</si>
  <si>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</si>
  <si>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</si>
  <si>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</si>
  <si>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</si>
  <si>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</si>
  <si>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</si>
  <si>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</si>
  <si>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</si>
  <si>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</si>
  <si>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</si>
  <si>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</si>
  <si>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</si>
  <si>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</si>
  <si>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</si>
  <si>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</si>
  <si>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</si>
  <si>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</si>
  <si>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</si>
  <si>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</si>
  <si>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</si>
  <si>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</si>
  <si>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</si>
  <si>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</si>
  <si>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</si>
  <si>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</si>
  <si>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</si>
  <si>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</si>
  <si>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</si>
  <si>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</si>
  <si>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</si>
  <si>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</si>
  <si>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</si>
  <si>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</si>
  <si>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</si>
  <si>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</si>
  <si>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</si>
  <si>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</si>
  <si>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</si>
  <si>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</si>
  <si>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</si>
  <si>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</si>
  <si>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</si>
  <si>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</si>
  <si>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</si>
  <si>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</si>
  <si>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</si>
  <si>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</si>
  <si>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</si>
  <si>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</si>
  <si>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</si>
  <si>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</si>
  <si>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</si>
  <si>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</si>
  <si>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</si>
  <si>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</si>
  <si>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</si>
  <si>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</si>
  <si>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</si>
  <si>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</si>
  <si>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</si>
  <si>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</si>
  <si>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</si>
  <si>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</si>
  <si>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</si>
  <si>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</si>
  <si>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</si>
  <si>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</si>
  <si>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</si>
  <si>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</si>
  <si>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</si>
  <si>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</si>
  <si>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</si>
  <si>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</si>
  <si>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</si>
  <si>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</si>
  <si>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</si>
  <si>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</si>
  <si>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</si>
  <si>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</si>
  <si>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</si>
  <si>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</si>
  <si>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</si>
  <si>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</si>
  <si>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</si>
  <si>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</si>
  <si>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</si>
  <si>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</si>
  <si>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</si>
  <si>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</si>
  <si>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</si>
  <si>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</si>
  <si>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</si>
  <si>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</si>
  <si>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</si>
  <si>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</si>
  <si>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</si>
  <si>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</si>
  <si>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</si>
  <si>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</si>
  <si>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</si>
  <si>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</si>
  <si>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</si>
  <si>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</si>
  <si>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</si>
  <si>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</si>
  <si>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</si>
  <si>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</si>
  <si>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</si>
  <si>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</si>
  <si>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</si>
  <si>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</si>
  <si>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</si>
  <si>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</si>
  <si>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</si>
  <si>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</si>
  <si>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</si>
  <si>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</si>
  <si>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</si>
  <si>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</si>
  <si>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</si>
  <si>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</si>
  <si>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</si>
  <si>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</si>
  <si>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</si>
  <si>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</si>
  <si>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</si>
  <si>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</si>
  <si>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</si>
  <si>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</si>
  <si>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</si>
  <si>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</si>
  <si>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</si>
  <si>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</si>
  <si>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</si>
  <si>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</si>
  <si>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</si>
  <si>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</si>
  <si>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</si>
  <si>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</si>
  <si>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</si>
  <si>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</si>
  <si>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</si>
  <si>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</si>
  <si>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</si>
  <si>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</si>
  <si>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</si>
  <si>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</si>
  <si>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</si>
  <si>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</si>
  <si>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</si>
  <si>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</si>
  <si>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</si>
  <si>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</si>
  <si>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</si>
  <si>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</si>
  <si>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</si>
  <si>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</si>
  <si>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</si>
  <si>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</si>
  <si>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</si>
  <si>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</si>
  <si>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</si>
  <si>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</si>
  <si>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</si>
  <si>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</si>
  <si>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</si>
  <si>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</si>
  <si>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</si>
  <si>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</si>
  <si>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</si>
  <si>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</si>
  <si>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</si>
  <si>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</si>
  <si>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</si>
  <si>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</si>
  <si>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</si>
  <si>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</si>
  <si>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</si>
  <si>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</si>
  <si>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</si>
  <si>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</si>
  <si>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</si>
  <si>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</si>
  <si>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</si>
  <si>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</si>
  <si>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</si>
  <si>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</si>
  <si>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</si>
  <si>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</si>
  <si>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</si>
  <si>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</si>
  <si>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</si>
  <si>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</si>
  <si>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</si>
  <si>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</si>
  <si>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</si>
  <si>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</si>
  <si>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</si>
  <si>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</si>
  <si>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</si>
  <si>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</si>
  <si>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</si>
  <si>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</si>
  <si>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</si>
  <si>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</si>
  <si>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</si>
  <si>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</si>
  <si>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</si>
  <si>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</si>
  <si>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</si>
  <si>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</si>
  <si>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</si>
  <si>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</si>
  <si>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</si>
  <si>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</si>
  <si>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</si>
  <si>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</si>
  <si>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</si>
  <si>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</si>
  <si>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</si>
  <si>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</si>
  <si>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</si>
  <si>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</si>
  <si>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</si>
  <si>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</si>
  <si>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</si>
  <si>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</si>
  <si>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</si>
  <si>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</si>
  <si>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</si>
  <si>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</si>
  <si>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</si>
  <si>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</si>
  <si>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</si>
  <si>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</si>
  <si>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</si>
  <si>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</si>
  <si>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</si>
  <si>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</si>
  <si>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</si>
  <si>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</si>
  <si>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</si>
  <si>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</si>
  <si>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</si>
  <si>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</si>
  <si>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</si>
  <si>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</si>
  <si>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</si>
  <si>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</si>
  <si>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</si>
  <si>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</si>
  <si>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</si>
  <si>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</si>
  <si>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</si>
  <si>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</si>
  <si>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</si>
  <si>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</si>
  <si>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</si>
  <si>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</si>
  <si>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</si>
  <si>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</si>
  <si>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</si>
  <si>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</si>
  <si>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</si>
  <si>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</si>
  <si>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</si>
  <si>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</si>
  <si>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</si>
  <si>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</si>
  <si>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</si>
  <si>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</si>
  <si>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</si>
  <si>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</si>
  <si>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</si>
  <si>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</si>
  <si>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</si>
  <si>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</si>
  <si>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</si>
  <si>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</si>
  <si>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</si>
  <si>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</si>
  <si>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</si>
  <si>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</si>
  <si>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</si>
  <si>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</si>
  <si>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</si>
  <si>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</si>
  <si>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</si>
  <si>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</si>
  <si>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</si>
  <si>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</si>
  <si>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</si>
  <si>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</si>
  <si>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</si>
  <si>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</si>
  <si>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</si>
  <si>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</si>
  <si>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</si>
  <si>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</si>
  <si>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</si>
  <si>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</si>
  <si>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</si>
  <si>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</si>
  <si>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</si>
  <si>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</si>
  <si>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</si>
  <si>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</si>
  <si>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</si>
  <si>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</si>
  <si>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</si>
  <si>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</si>
  <si>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</si>
  <si>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</si>
  <si>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</si>
  <si>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</si>
  <si>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</si>
  <si>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</si>
  <si>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</si>
  <si>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</si>
  <si>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</si>
  <si>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</si>
  <si>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</si>
  <si>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</si>
  <si>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</si>
  <si>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</si>
  <si>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</si>
  <si>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</si>
  <si>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</si>
  <si>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</si>
  <si>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</si>
  <si>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</si>
  <si>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</si>
  <si>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</si>
  <si>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</si>
  <si>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</si>
  <si>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</si>
  <si>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</si>
  <si>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</si>
  <si>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</si>
  <si>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</si>
  <si>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</si>
  <si>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</si>
  <si>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</si>
  <si>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</si>
  <si>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</si>
  <si>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</si>
  <si>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</si>
  <si>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</si>
  <si>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</si>
  <si>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</si>
  <si>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</si>
  <si>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</si>
  <si>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</si>
  <si>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</si>
  <si>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</si>
  <si>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</si>
  <si>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</si>
  <si>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</si>
  <si>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</si>
  <si>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</si>
  <si>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</si>
  <si>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</si>
  <si>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</si>
  <si>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</si>
  <si>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</si>
  <si>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</si>
  <si>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</si>
  <si>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</si>
  <si>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</si>
  <si>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</si>
  <si>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</si>
  <si>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</si>
  <si>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</si>
  <si>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</si>
  <si>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</si>
  <si>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</si>
  <si>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</si>
  <si>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</si>
  <si>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</si>
  <si>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</si>
  <si>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</si>
  <si>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</si>
  <si>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</si>
  <si>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</si>
  <si>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</si>
  <si>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</si>
  <si>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</si>
  <si>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</si>
  <si>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</si>
  <si>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</si>
  <si>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</si>
  <si>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</si>
  <si>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</si>
  <si>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</si>
  <si>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</si>
  <si>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</si>
  <si>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</si>
  <si>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</si>
  <si>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</si>
  <si>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</si>
  <si>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</si>
  <si>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</si>
  <si>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</si>
  <si>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</si>
  <si>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</si>
  <si>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</si>
  <si>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</si>
  <si>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</si>
  <si>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</si>
  <si>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</si>
  <si>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</si>
  <si>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</si>
  <si>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</si>
  <si>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</si>
  <si>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</si>
  <si>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</si>
  <si>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</si>
  <si>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</si>
  <si>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</si>
  <si>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</si>
  <si>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</si>
  <si>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</si>
  <si>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</si>
  <si>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</si>
  <si>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</si>
  <si>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</si>
  <si>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</si>
  <si>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</si>
  <si>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</si>
  <si>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</si>
  <si>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</si>
  <si>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</si>
  <si>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</si>
  <si>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</si>
  <si>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</si>
  <si>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</si>
  <si>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</si>
  <si>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</si>
  <si>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</si>
  <si>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</si>
  <si>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</si>
  <si>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</si>
  <si>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</si>
  <si>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</si>
  <si>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</si>
  <si>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</si>
  <si>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</si>
  <si>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</si>
  <si>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</si>
  <si>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</si>
  <si>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</si>
  <si>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</si>
  <si>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</si>
  <si>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</si>
  <si>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</si>
  <si>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</si>
  <si>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</si>
  <si>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</si>
  <si>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</si>
  <si>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</si>
  <si>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</si>
  <si>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</si>
  <si>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</si>
  <si>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</si>
  <si>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</si>
  <si>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</si>
  <si>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</si>
  <si>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</si>
  <si>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</si>
  <si>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</si>
  <si>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</si>
  <si>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</si>
  <si>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</si>
  <si>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</si>
  <si>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</si>
  <si>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</si>
  <si>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</si>
  <si>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</si>
  <si>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</si>
  <si>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</si>
  <si>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</si>
  <si>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</si>
  <si>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</si>
  <si>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</si>
  <si>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</si>
  <si>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</si>
  <si>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</si>
  <si>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</si>
  <si>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</si>
  <si>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</si>
  <si>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</si>
  <si>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</si>
  <si>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</si>
  <si>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</si>
  <si>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</si>
  <si>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</si>
  <si>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</si>
  <si>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</si>
  <si>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</si>
  <si>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</si>
  <si>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</si>
  <si>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</si>
  <si>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</si>
  <si>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</si>
  <si>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</si>
  <si>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</si>
  <si>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</si>
  <si>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</si>
  <si>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</si>
  <si>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</si>
  <si>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</si>
  <si>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</si>
  <si>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</si>
  <si>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</si>
  <si>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</si>
  <si>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</si>
  <si>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</si>
  <si>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</si>
  <si>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</si>
  <si>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</si>
  <si>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</si>
  <si>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</si>
  <si>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</si>
  <si>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</si>
  <si>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</si>
  <si>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</si>
  <si>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</si>
  <si>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</si>
  <si>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</si>
  <si>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</si>
  <si>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</si>
  <si>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</si>
  <si>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</si>
  <si>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</si>
  <si>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</si>
  <si>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</si>
  <si>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</si>
  <si>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</si>
  <si>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</si>
  <si>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</si>
  <si>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</si>
  <si>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</si>
  <si>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</si>
  <si>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</si>
  <si>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</si>
  <si>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</si>
  <si>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</si>
  <si>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</si>
  <si>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</si>
  <si>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</si>
  <si>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</si>
  <si>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</si>
  <si>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</si>
  <si>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</si>
  <si>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</si>
  <si>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</si>
  <si>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</si>
  <si>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</si>
  <si>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</si>
  <si>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</si>
  <si>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</si>
  <si>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</si>
  <si>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</si>
  <si>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</si>
  <si>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</si>
  <si>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</si>
  <si>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</si>
  <si>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</si>
  <si>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</si>
  <si>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</si>
  <si>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</si>
  <si>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</si>
  <si>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</si>
  <si>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</si>
  <si>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</si>
  <si>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</si>
  <si>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</si>
  <si>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</si>
  <si>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</si>
  <si>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</si>
  <si>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</si>
  <si>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</si>
  <si>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</si>
  <si>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</si>
  <si>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</si>
  <si>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</si>
  <si>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</si>
  <si>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</si>
  <si>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</si>
  <si>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</si>
  <si>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</si>
  <si>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</si>
  <si>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</si>
  <si>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</si>
  <si>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</si>
  <si>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</si>
  <si>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</si>
  <si>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</si>
  <si>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</si>
  <si>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</si>
  <si>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</si>
  <si>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</si>
  <si>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</si>
  <si>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</si>
  <si>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</si>
  <si>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</si>
  <si>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</si>
  <si>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</si>
  <si>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</si>
  <si>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</si>
  <si>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</si>
  <si>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</si>
  <si>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</si>
  <si>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</si>
  <si>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</si>
  <si>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</si>
  <si>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</si>
  <si>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</si>
  <si>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</si>
  <si>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</si>
  <si>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</si>
  <si>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</si>
  <si>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</si>
  <si>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</si>
  <si>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</si>
  <si>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</si>
  <si>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</si>
  <si>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</si>
  <si>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</si>
  <si>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</si>
  <si>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</si>
  <si>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</si>
  <si>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</si>
  <si>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</si>
  <si>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</si>
  <si>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</si>
  <si>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</si>
  <si>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</si>
  <si>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</si>
  <si>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</si>
  <si>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</si>
  <si>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</si>
  <si>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</si>
  <si>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</si>
  <si>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</si>
  <si>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</si>
  <si>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</si>
  <si>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</si>
  <si>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</si>
  <si>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</si>
  <si>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</si>
  <si>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</si>
  <si>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</si>
  <si>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</si>
  <si>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</si>
  <si>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</si>
  <si>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</si>
  <si>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</si>
  <si>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已投资{value1}积分</t>
  </si>
  <si>
    <t>Invested {value1} point</t>
  </si>
  <si>
    <t>textInvestedPointValue</t>
  </si>
  <si>
    <t>已投资{value1}积分价值</t>
  </si>
  <si>
    <t>Invested {value1} point value</t>
  </si>
  <si>
    <t>textOnlyOnceInvest</t>
  </si>
  <si>
    <t>同一问答，每种方式只可投资一次</t>
  </si>
  <si>
    <t>For the same question, each method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</si>
  <si>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</si>
  <si>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</si>
  <si>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</si>
  <si>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</si>
  <si>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</si>
  <si>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</si>
  <si>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</si>
  <si>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</si>
  <si>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</si>
  <si>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</si>
  <si>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</si>
  <si>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</si>
  <si>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</si>
  <si>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</si>
  <si>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</si>
  <si>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</si>
  <si>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</si>
  <si>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</si>
  <si>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</si>
  <si>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</si>
  <si>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</si>
  <si>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</si>
  <si>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</si>
  <si>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</si>
  <si>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</si>
  <si>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</si>
  <si>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</si>
  <si>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</si>
  <si>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</si>
  <si>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</si>
  <si>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</si>
  <si>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</si>
  <si>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</si>
  <si>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</si>
  <si>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</si>
  <si>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</si>
  <si>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</si>
  <si>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</si>
  <si>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</si>
  <si>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</si>
  <si>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</si>
  <si>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</si>
  <si>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</si>
  <si>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</si>
  <si>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</si>
  <si>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</si>
  <si>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</si>
  <si>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</si>
  <si>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</si>
  <si>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</si>
  <si>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</si>
  <si>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</si>
  <si>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</si>
  <si>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</si>
  <si>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</si>
  <si>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</si>
  <si>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</si>
  <si>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</si>
  <si>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</si>
  <si>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</si>
  <si>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</si>
  <si>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</si>
  <si>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</si>
  <si>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</si>
  <si>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</si>
  <si>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</si>
  <si>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</si>
  <si>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</si>
  <si>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</si>
  <si>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</si>
  <si>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</si>
  <si>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</si>
  <si>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</si>
  <si>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</si>
  <si>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</si>
  <si>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</si>
  <si>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</si>
  <si>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</si>
  <si>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</si>
  <si>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</si>
  <si>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</si>
  <si>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</si>
  <si>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</si>
  <si>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</si>
  <si>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</si>
  <si>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</si>
  <si>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</si>
  <si>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</si>
  <si>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</si>
  <si>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t>
  </si>
  <si>
    <t>{value1}开出{value2}积分，有{value3}概率爆出NFT笔</t>
  </si>
  <si>
    <t>{value1} chance to get {value2} points, {value3} chance to get NFT pen</t>
  </si>
  <si>
    <t>textMysteryBoxFromAt</t>
  </si>
  <si>
    <t>来自 {value1} 于 {value2}</t>
  </si>
  <si>
    <t>From {value1} at {value2}</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</si>
  <si>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</si>
  <si>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</si>
  <si>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</si>
  <si>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</si>
  <si>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</si>
  <si>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</si>
  <si>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</si>
  <si>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</si>
  <si>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</si>
  <si>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</si>
  <si>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</si>
  <si>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</si>
  <si>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</si>
  <si>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</si>
  <si>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</si>
  <si>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</si>
  <si>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</si>
  <si>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</si>
  <si>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</si>
  <si>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</si>
  <si>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</si>
  <si>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</si>
  <si>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</si>
  <si>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</si>
  <si>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</si>
  <si>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</si>
  <si>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</si>
  <si>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</si>
  <si>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</si>
  <si>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</si>
  <si>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</si>
  <si>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</si>
  <si>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</si>
  <si>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</si>
  <si>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</si>
  <si>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</si>
  <si>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</si>
  <si>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</si>
  <si>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</si>
  <si>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</si>
  <si>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</si>
  <si>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</si>
  <si>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</si>
  <si>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</si>
  <si>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</si>
  <si>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</si>
  <si>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</si>
  <si>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</si>
  <si>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</si>
  <si>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</si>
  <si>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</si>
  <si>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</si>
  <si>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</si>
  <si>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</si>
  <si>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</si>
  <si>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</si>
  <si>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</si>
  <si>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</si>
  <si>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</si>
  <si>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</si>
  <si>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</si>
  <si>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</si>
  <si>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</si>
  <si>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</si>
  <si>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</si>
  <si>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</si>
  <si>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</si>
  <si>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</si>
  <si>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</si>
  <si>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</si>
  <si>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</si>
  <si>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</si>
  <si>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</si>
  <si>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</si>
  <si>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</si>
  <si>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</si>
  <si>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</si>
  <si>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</si>
  <si>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</si>
  <si>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</si>
  <si>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</si>
  <si>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</si>
  <si>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</si>
  <si>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</si>
  <si>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</si>
  <si>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</si>
  <si>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</si>
  <si>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</si>
  <si>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</si>
  <si>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</si>
  <si>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</si>
  <si>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</si>
  <si>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</si>
  <si>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</si>
  <si>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</si>
  <si>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</si>
  <si>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</si>
  <si>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</si>
  <si>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</si>
  <si>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</si>
  <si>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</si>
  <si>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</si>
  <si>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</si>
  <si>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</si>
  <si>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</si>
  <si>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</si>
  <si>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</si>
  <si>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</si>
  <si>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</si>
  <si>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</si>
  <si>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</si>
  <si>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</si>
  <si>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</si>
  <si>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</si>
  <si>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</si>
  <si>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</si>
  <si>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</si>
  <si>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</si>
  <si>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</si>
  <si>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</si>
  <si>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</si>
  <si>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</si>
  <si>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</si>
  <si>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</si>
  <si>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</si>
  <si>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</si>
  <si>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</si>
  <si>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</si>
  <si>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</si>
  <si>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</si>
  <si>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</si>
  <si>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The from address is the same as the to address</t>
  </si>
  <si>
    <t>from地址积分为0</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</si>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</sst>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55"/>
  <sheetViews>
    <sheetView tabSelected="1" workbookViewId="0">
      <pane ySplit="2" topLeftCell="A827" activePane="bottomLeft" state="frozen"/>
      <selection/>
      <selection pane="bottomLeft" activeCell="K853" sqref="K853"/>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"买积分",</v>
      </c>
      <c r="J10" s="16" t="str">
        <f t="shared" si="2"/>
        <v>  "btnBuyPoint": "Buy point",</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"注入积分",</v>
      </c>
      <c r="J37" s="16" t="str">
        <f t="shared" si="2"/>
        <v>  "btnInjectPoint": "Inject point",</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290</v>
      </c>
      <c r="E97" s="15"/>
      <c r="F97" s="16"/>
      <c r="G97" s="29"/>
      <c r="H97" s="20"/>
      <c r="I97" s="16" t="str">
        <f t="shared" si="7"/>
        <v>  "tagPoints": "积分",</v>
      </c>
      <c r="J97" s="16" t="str">
        <f t="shared" si="8"/>
        <v>  "tagPoints": "Point",</v>
      </c>
      <c r="K97" s="16" t="str">
        <f t="shared" si="9"/>
        <v>  "tagPoints": "",</v>
      </c>
      <c r="L97" s="16" t="str">
        <f t="shared" si="10"/>
        <v>  "tagPoints": "",</v>
      </c>
      <c r="M97" s="16" t="str">
        <f t="shared" si="11"/>
        <v>  "tagPoints": "",</v>
      </c>
    </row>
    <row r="98" ht="23" customHeight="1" spans="1:13">
      <c r="A98" s="28">
        <f t="shared" si="6"/>
        <v>100096</v>
      </c>
      <c r="B98" s="7" t="s">
        <v>291</v>
      </c>
      <c r="C98" s="8" t="s">
        <v>292</v>
      </c>
      <c r="D98" s="9" t="s">
        <v>293</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294</v>
      </c>
      <c r="C99" s="8" t="s">
        <v>295</v>
      </c>
      <c r="D99" s="9" t="s">
        <v>296</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297</v>
      </c>
      <c r="C100" s="8" t="s">
        <v>192</v>
      </c>
      <c r="D100" s="9" t="s">
        <v>298</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299</v>
      </c>
      <c r="C101" s="8" t="s">
        <v>300</v>
      </c>
      <c r="D101" s="9" t="s">
        <v>301</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302</v>
      </c>
      <c r="C102" s="8" t="s">
        <v>303</v>
      </c>
      <c r="D102" s="9" t="s">
        <v>304</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305</v>
      </c>
      <c r="C103" s="8" t="s">
        <v>306</v>
      </c>
      <c r="D103" s="11" t="s">
        <v>307</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308</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309</v>
      </c>
      <c r="C105" s="8" t="s">
        <v>310</v>
      </c>
      <c r="D105" s="11" t="s">
        <v>311</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312</v>
      </c>
      <c r="C106" s="8" t="s">
        <v>313</v>
      </c>
      <c r="D106" s="8" t="s">
        <v>314</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315</v>
      </c>
      <c r="C107" s="8" t="s">
        <v>316</v>
      </c>
      <c r="D107" s="9" t="s">
        <v>317</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318</v>
      </c>
      <c r="C108" s="8" t="s">
        <v>319</v>
      </c>
      <c r="D108" s="9" t="s">
        <v>320</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321</v>
      </c>
      <c r="C109" s="8" t="s">
        <v>322</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323</v>
      </c>
      <c r="C110" s="8" t="s">
        <v>324</v>
      </c>
      <c r="D110" s="9" t="s">
        <v>325</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326</v>
      </c>
      <c r="C111" s="8" t="s">
        <v>327</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10.4"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"可创建新钱包，或导入已有web3钱包进行绑定，绑定钱包后可参与答题、点赞、领取积分奖励。",</v>
      </c>
      <c r="J123" s="16" t="str">
        <f t="shared" si="8"/>
        <v>  "textBindWalletDescription": "You can create a new wallet, or import an existing web3 wallet for binding. After binding the wallet, you can participate in answering questions, giving likes, and receiving reward point.",</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365</v>
      </c>
      <c r="E125" s="15"/>
      <c r="F125" s="16"/>
      <c r="G125" s="29"/>
      <c r="H125" s="20"/>
      <c r="I125" s="16" t="str">
        <f t="shared" si="7"/>
        <v>  "textBuyPoint": "购买积分",</v>
      </c>
      <c r="J125" s="16" t="str">
        <f t="shared" si="8"/>
        <v>  "textBuyPoint": "Buy points",</v>
      </c>
      <c r="K125" s="16" t="str">
        <f t="shared" si="9"/>
        <v>  "textBuyPoint": "",</v>
      </c>
      <c r="L125" s="16" t="str">
        <f t="shared" si="10"/>
        <v>  "textBuyPoint": "",</v>
      </c>
      <c r="M125" s="16" t="str">
        <f t="shared" si="11"/>
        <v>  "textBuyPoint": "",</v>
      </c>
    </row>
    <row r="126" ht="27.6" spans="1:13">
      <c r="A126" s="28">
        <f t="shared" si="6"/>
        <v>100124</v>
      </c>
      <c r="B126" s="7" t="s">
        <v>366</v>
      </c>
      <c r="C126" s="8" t="s">
        <v>367</v>
      </c>
      <c r="D126" s="9" t="s">
        <v>368</v>
      </c>
      <c r="E126" s="15"/>
      <c r="F126" s="16"/>
      <c r="G126" s="29"/>
      <c r="H126" s="27"/>
      <c r="I126" s="16" t="str">
        <f t="shared" si="7"/>
        <v>  "textBuyPointSuccessDescription": "成功购买{value1}积分。",</v>
      </c>
      <c r="J126" s="16" t="str">
        <f t="shared" si="8"/>
        <v>  "textBuyPointSuccessDescription": "Successfully purchased {value1} points.",</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369</v>
      </c>
      <c r="C127" s="8" t="s">
        <v>370</v>
      </c>
      <c r="D127" s="9" t="s">
        <v>371</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372</v>
      </c>
      <c r="C128" s="8" t="s">
        <v>373</v>
      </c>
      <c r="D128" s="9" t="s">
        <v>374</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375</v>
      </c>
      <c r="C129" s="8" t="s">
        <v>376</v>
      </c>
      <c r="D129" s="9" t="s">
        <v>377</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378</v>
      </c>
      <c r="C130" s="8" t="s">
        <v>379</v>
      </c>
      <c r="D130" s="9" t="s">
        <v>380</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381</v>
      </c>
      <c r="C131" s="8" t="s">
        <v>382</v>
      </c>
      <c r="D131" s="9" t="s">
        <v>383</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384</v>
      </c>
      <c r="C132" s="8" t="s">
        <v>385</v>
      </c>
      <c r="D132" s="9" t="s">
        <v>386</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387</v>
      </c>
      <c r="C133" s="8" t="s">
        <v>388</v>
      </c>
      <c r="D133" s="9" t="s">
        <v>389</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390</v>
      </c>
      <c r="C134" s="8" t="s">
        <v>388</v>
      </c>
      <c r="D134" s="9" t="s">
        <v>391</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392</v>
      </c>
      <c r="C135" s="8" t="s">
        <v>393</v>
      </c>
      <c r="D135" s="9" t="s">
        <v>394</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395</v>
      </c>
      <c r="C136" s="8" t="s">
        <v>396</v>
      </c>
      <c r="D136" s="9" t="s">
        <v>397</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398</v>
      </c>
      <c r="C137" s="8" t="s">
        <v>399</v>
      </c>
      <c r="D137" s="9" t="s">
        <v>400</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401</v>
      </c>
      <c r="C138" s="8" t="s">
        <v>402</v>
      </c>
      <c r="D138" s="9" t="s">
        <v>403</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404</v>
      </c>
      <c r="C139" s="8" t="s">
        <v>405</v>
      </c>
      <c r="D139" s="9" t="s">
        <v>406</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407</v>
      </c>
      <c r="C140" s="8" t="s">
        <v>408</v>
      </c>
      <c r="D140" s="9" t="s">
        <v>409</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410</v>
      </c>
      <c r="C141" s="8" t="s">
        <v>411</v>
      </c>
      <c r="D141" s="11" t="s">
        <v>412</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413</v>
      </c>
      <c r="C142" s="8" t="s">
        <v>414</v>
      </c>
      <c r="D142" s="9" t="s">
        <v>415</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416</v>
      </c>
      <c r="C143" s="8" t="s">
        <v>417</v>
      </c>
      <c r="D143" s="9" t="s">
        <v>418</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419</v>
      </c>
      <c r="C144" s="8" t="s">
        <v>420</v>
      </c>
      <c r="D144" s="9" t="s">
        <v>421</v>
      </c>
      <c r="E144" s="15"/>
      <c r="F144" s="16"/>
      <c r="G144" s="29"/>
      <c r="H144" s="20"/>
      <c r="I144" s="16" t="str">
        <f t="shared" si="13"/>
        <v>  "textEarningPoint": "收益积分",</v>
      </c>
      <c r="J144" s="16" t="str">
        <f t="shared" si="14"/>
        <v>  "textEarningPoint": "Earning points",</v>
      </c>
      <c r="K144" s="16" t="str">
        <f t="shared" si="15"/>
        <v>  "textEarningPoint": "",</v>
      </c>
      <c r="L144" s="16" t="str">
        <f t="shared" si="16"/>
        <v>  "textEarningPoint": "",</v>
      </c>
      <c r="M144" s="16" t="str">
        <f t="shared" si="17"/>
        <v>  "textEarningPoint": "",</v>
      </c>
    </row>
    <row r="145" ht="23" customHeight="1" spans="1:13">
      <c r="A145" s="28">
        <f t="shared" si="12"/>
        <v>100143</v>
      </c>
      <c r="B145" s="7" t="s">
        <v>422</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423</v>
      </c>
      <c r="C146" s="8" t="s">
        <v>424</v>
      </c>
      <c r="D146" s="9" t="s">
        <v>425</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426</v>
      </c>
      <c r="C147" s="8" t="s">
        <v>427</v>
      </c>
      <c r="D147" s="9" t="s">
        <v>428</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429</v>
      </c>
      <c r="C148" s="8" t="s">
        <v>430</v>
      </c>
      <c r="D148" s="9" t="s">
        <v>431</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432</v>
      </c>
      <c r="C149" s="8" t="s">
        <v>433</v>
      </c>
      <c r="D149" s="11" t="s">
        <v>434</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435</v>
      </c>
      <c r="C150" s="8" t="s">
        <v>436</v>
      </c>
      <c r="D150" s="8" t="s">
        <v>437</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438</v>
      </c>
      <c r="C151" s="8" t="s">
        <v>439</v>
      </c>
      <c r="D151" s="9" t="s">
        <v>440</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441</v>
      </c>
      <c r="C152" s="8" t="s">
        <v>442</v>
      </c>
      <c r="D152" s="9" t="s">
        <v>443</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444</v>
      </c>
      <c r="C153" s="8" t="s">
        <v>445</v>
      </c>
      <c r="D153" s="9" t="s">
        <v>446</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447</v>
      </c>
      <c r="C154" s="8" t="s">
        <v>448</v>
      </c>
      <c r="D154" s="9" t="s">
        <v>449</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450</v>
      </c>
      <c r="C155" s="8" t="s">
        <v>451</v>
      </c>
      <c r="D155" s="9" t="s">
        <v>452</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453</v>
      </c>
      <c r="C156" s="8" t="s">
        <v>454</v>
      </c>
      <c r="D156" s="9" t="s">
        <v>455</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456</v>
      </c>
      <c r="C157" s="8" t="s">
        <v>457</v>
      </c>
      <c r="D157" s="11" t="s">
        <v>458</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459</v>
      </c>
      <c r="C158" s="8" t="s">
        <v>460</v>
      </c>
      <c r="D158" s="7" t="s">
        <v>461</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462</v>
      </c>
      <c r="C159" s="8" t="s">
        <v>463</v>
      </c>
      <c r="D159" s="9" t="s">
        <v>464</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465</v>
      </c>
      <c r="C160" s="8" t="s">
        <v>466</v>
      </c>
      <c r="D160" s="9" t="s">
        <v>467</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468</v>
      </c>
      <c r="C161" s="8" t="s">
        <v>469</v>
      </c>
      <c r="D161" s="9" t="s">
        <v>470</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27.6" spans="1:13">
      <c r="A162" s="28">
        <f t="shared" si="12"/>
        <v>100160</v>
      </c>
      <c r="B162" s="7" t="s">
        <v>471</v>
      </c>
      <c r="C162" s="8" t="s">
        <v>472</v>
      </c>
      <c r="D162" s="9" t="s">
        <v>473</v>
      </c>
      <c r="E162" s="15"/>
      <c r="F162" s="16"/>
      <c r="G162" s="29"/>
      <c r="H162" s="20"/>
      <c r="I162" s="16" t="str">
        <f t="shared" si="13"/>
        <v>  "textGetPoint": "恭喜获得{value1}积分奖励！",</v>
      </c>
      <c r="J162" s="16" t="str">
        <f t="shared" si="14"/>
        <v>  "textGetPoint": "Congratulations on earning {value1} bonus points!",</v>
      </c>
      <c r="K162" s="16" t="str">
        <f t="shared" si="15"/>
        <v>  "textGetPoint": "",</v>
      </c>
      <c r="L162" s="16" t="str">
        <f t="shared" si="16"/>
        <v>  "textGetPoint": "",</v>
      </c>
      <c r="M162" s="16" t="str">
        <f t="shared" si="17"/>
        <v>  "textGetPoint": "",</v>
      </c>
    </row>
    <row r="163" ht="23" customHeight="1" spans="1:13">
      <c r="A163" s="28">
        <f t="shared" si="12"/>
        <v>100161</v>
      </c>
      <c r="B163" s="7" t="s">
        <v>474</v>
      </c>
      <c r="C163" s="8" t="s">
        <v>475</v>
      </c>
      <c r="D163" s="9" t="s">
        <v>476</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477</v>
      </c>
      <c r="C164" s="8" t="s">
        <v>478</v>
      </c>
      <c r="D164" s="9" t="s">
        <v>479</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480</v>
      </c>
      <c r="C165" s="8" t="s">
        <v>481</v>
      </c>
      <c r="D165" s="9" t="s">
        <v>482</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483</v>
      </c>
      <c r="C166" s="8" t="s">
        <v>484</v>
      </c>
      <c r="D166" s="9" t="s">
        <v>485</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486</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487</v>
      </c>
      <c r="C168" s="8" t="s">
        <v>488</v>
      </c>
      <c r="D168" s="9" t="s">
        <v>489</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490</v>
      </c>
      <c r="C169" s="8" t="s">
        <v>491</v>
      </c>
      <c r="D169" s="11" t="s">
        <v>492</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493</v>
      </c>
      <c r="C170" s="8" t="s">
        <v>494</v>
      </c>
      <c r="D170" s="9" t="s">
        <v>495</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496</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497</v>
      </c>
      <c r="C172" s="8" t="s">
        <v>498</v>
      </c>
      <c r="D172" s="9" t="s">
        <v>412</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41.4" spans="1:13">
      <c r="A175" s="28">
        <f t="shared" si="12"/>
        <v>100173</v>
      </c>
      <c r="B175" s="7" t="s">
        <v>505</v>
      </c>
      <c r="C175" s="8" t="s">
        <v>506</v>
      </c>
      <c r="D175" s="11" t="s">
        <v>507</v>
      </c>
      <c r="E175" s="15"/>
      <c r="F175" s="16"/>
      <c r="G175" s="29"/>
      <c r="H175" s="20"/>
      <c r="I175" s="16" t="str">
        <f t="shared" si="13"/>
        <v>  "textInjectedPointInfo": "已注入{value1}积分，关注度大幅提升！",</v>
      </c>
      <c r="J175" s="16" t="str">
        <f t="shared" si="14"/>
        <v>  "textInjectedPointInfo": "Injected {value1} points,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509</v>
      </c>
      <c r="E176" s="15"/>
      <c r="F176" s="16"/>
      <c r="G176" s="29"/>
      <c r="H176" s="20"/>
      <c r="I176" s="16" t="str">
        <f t="shared" si="13"/>
        <v>  "textInjectPoint": "注入积分",</v>
      </c>
      <c r="J176" s="16" t="str">
        <f t="shared" si="14"/>
        <v>  "textInjectPoint": "Inject points",</v>
      </c>
      <c r="K176" s="16" t="str">
        <f t="shared" si="15"/>
        <v>  "textInjectPoint": "",</v>
      </c>
      <c r="L176" s="16" t="str">
        <f t="shared" si="16"/>
        <v>  "textInjectPoint": "",</v>
      </c>
      <c r="M176" s="16" t="str">
        <f t="shared" si="17"/>
        <v>  "textInjectPoint": "",</v>
      </c>
    </row>
    <row r="177" ht="69" spans="1:13">
      <c r="A177" s="28">
        <f t="shared" si="12"/>
        <v>100175</v>
      </c>
      <c r="B177" s="7" t="s">
        <v>510</v>
      </c>
      <c r="C177" s="8" t="s">
        <v>511</v>
      </c>
      <c r="D177" s="11" t="s">
        <v>512</v>
      </c>
      <c r="E177" s="15"/>
      <c r="F177" s="16"/>
      <c r="G177" s="29"/>
      <c r="H177" s="20"/>
      <c r="I177" s="16" t="str">
        <f t="shared" si="13"/>
        <v>  "textInjectPointDescription": "给你的私有问题注入积分，可以增加关注度。请注意，注入的积分将不会被退还。",</v>
      </c>
      <c r="J177" s="16" t="str">
        <f t="shared" si="14"/>
        <v>  "textInjectPointDescription": "Injecting points into your private questions can increase attention. Please note that injected points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513</v>
      </c>
      <c r="C178" s="8" t="s">
        <v>514</v>
      </c>
      <c r="D178" s="9" t="s">
        <v>515</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516</v>
      </c>
      <c r="C179" s="8" t="s">
        <v>517</v>
      </c>
      <c r="D179" s="9" t="s">
        <v>518</v>
      </c>
      <c r="E179" s="15"/>
      <c r="F179" s="16"/>
      <c r="G179" s="29"/>
      <c r="H179" s="20"/>
      <c r="I179" s="16" t="str">
        <f t="shared" si="13"/>
        <v>  "textInsufficientPointTips": "您的积分不足，是否购买积分？",</v>
      </c>
      <c r="J179" s="16" t="str">
        <f t="shared" si="14"/>
        <v>  "textInsufficientPointTips": "You do not have enough points, would you like to purchase points?",</v>
      </c>
      <c r="K179" s="16" t="str">
        <f t="shared" si="15"/>
        <v>  "textInsufficientPointTips": "",</v>
      </c>
      <c r="L179" s="16" t="str">
        <f t="shared" si="16"/>
        <v>  "textInsufficientPointTips": "",</v>
      </c>
      <c r="M179" s="16" t="str">
        <f t="shared" si="17"/>
        <v>  "textInsufficientPointTips": "",</v>
      </c>
    </row>
    <row r="180" ht="27.6" spans="1:13">
      <c r="A180" s="28">
        <f t="shared" si="12"/>
        <v>100178</v>
      </c>
      <c r="B180" s="7" t="s">
        <v>519</v>
      </c>
      <c r="C180" s="8" t="s">
        <v>520</v>
      </c>
      <c r="D180" s="9" t="s">
        <v>521</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522</v>
      </c>
      <c r="C181" s="8" t="s">
        <v>523</v>
      </c>
      <c r="D181" s="9" t="s">
        <v>524</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525</v>
      </c>
      <c r="C182" s="8" t="s">
        <v>526</v>
      </c>
      <c r="D182" s="9" t="s">
        <v>527</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528</v>
      </c>
      <c r="C183" s="8" t="s">
        <v>529</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530</v>
      </c>
      <c r="C184" s="8" t="s">
        <v>121</v>
      </c>
      <c r="D184" s="9" t="s">
        <v>531</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532</v>
      </c>
      <c r="C185" s="8" t="s">
        <v>533</v>
      </c>
      <c r="D185" s="9" t="s">
        <v>534</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535</v>
      </c>
      <c r="C186" s="8" t="s">
        <v>536</v>
      </c>
      <c r="D186" s="9" t="s">
        <v>537</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538</v>
      </c>
      <c r="C187" s="8" t="s">
        <v>539</v>
      </c>
      <c r="D187" s="9" t="s">
        <v>540</v>
      </c>
      <c r="E187" s="15"/>
      <c r="F187" s="16"/>
      <c r="G187" s="29"/>
      <c r="H187" s="15"/>
      <c r="I187" s="16" t="str">
        <f t="shared" si="13"/>
        <v>  "textInvestPoint": "投资积分",</v>
      </c>
      <c r="J187" s="16" t="str">
        <f t="shared" si="14"/>
        <v>  "textInvestPoint": "Invest points",</v>
      </c>
      <c r="K187" s="16" t="str">
        <f t="shared" si="15"/>
        <v>  "textInvestPoint": "",</v>
      </c>
      <c r="L187" s="16" t="str">
        <f t="shared" si="16"/>
        <v>  "textInvestPoint": "",</v>
      </c>
      <c r="M187" s="16" t="str">
        <f t="shared" si="17"/>
        <v>  "textInvestPoint": "",</v>
      </c>
    </row>
    <row r="188" spans="1:13">
      <c r="A188" s="28">
        <f t="shared" si="12"/>
        <v>100186</v>
      </c>
      <c r="B188" s="7" t="s">
        <v>541</v>
      </c>
      <c r="C188" s="8" t="s">
        <v>542</v>
      </c>
      <c r="D188" s="9" t="s">
        <v>543</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544</v>
      </c>
      <c r="C189" s="8" t="s">
        <v>545</v>
      </c>
      <c r="D189" s="9" t="s">
        <v>546</v>
      </c>
      <c r="E189" s="15"/>
      <c r="F189" s="16"/>
      <c r="G189" s="29"/>
      <c r="H189" s="15"/>
      <c r="I189" s="16" t="str">
        <f t="shared" si="13"/>
        <v>  "textInvestReturned": "投资积分已返还",</v>
      </c>
      <c r="J189" s="16" t="str">
        <f t="shared" si="14"/>
        <v>  "textInvestReturned": "Investment points returned",</v>
      </c>
      <c r="K189" s="16" t="str">
        <f t="shared" si="15"/>
        <v>  "textInvestReturned": "",</v>
      </c>
      <c r="L189" s="16" t="str">
        <f t="shared" si="16"/>
        <v>  "textInvestReturned": "",</v>
      </c>
      <c r="M189" s="16" t="str">
        <f t="shared" si="17"/>
        <v>  "textInvestReturned": "",</v>
      </c>
    </row>
    <row r="190" spans="1:13">
      <c r="A190" s="28">
        <f t="shared" si="12"/>
        <v>100188</v>
      </c>
      <c r="B190" s="7" t="s">
        <v>547</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548</v>
      </c>
      <c r="C191" s="8" t="s">
        <v>549</v>
      </c>
      <c r="D191" s="9" t="s">
        <v>550</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551</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55.2" spans="1:13">
      <c r="A193" s="28">
        <f t="shared" si="12"/>
        <v>100191</v>
      </c>
      <c r="B193" s="7" t="s">
        <v>552</v>
      </c>
      <c r="C193" s="8" t="s">
        <v>553</v>
      </c>
      <c r="D193" s="9" t="s">
        <v>554</v>
      </c>
      <c r="E193" s="15"/>
      <c r="F193" s="16"/>
      <c r="G193" s="29"/>
      <c r="H193" s="15"/>
      <c r="I193" s="16" t="str">
        <f t="shared" si="13"/>
        <v>  "textLikesDescription": "问题结束后，获赞最多的5个理由将胜出，给胜出理由点赞的人可以瓜分积分",</v>
      </c>
      <c r="J193" s="16" t="str">
        <f t="shared" si="14"/>
        <v>  "textLikesDescription": "Once the time limit has ended, the 5 questions with the most likes will win points",</v>
      </c>
      <c r="K193" s="16" t="str">
        <f t="shared" si="15"/>
        <v>  "textLikesDescription": "",</v>
      </c>
      <c r="L193" s="16" t="str">
        <f t="shared" si="16"/>
        <v>  "textLikesDescription": "",</v>
      </c>
      <c r="M193" s="16" t="str">
        <f t="shared" si="17"/>
        <v>  "textLikesDescription": "",</v>
      </c>
    </row>
    <row r="194" spans="1:13">
      <c r="A194" s="28">
        <f t="shared" si="12"/>
        <v>100192</v>
      </c>
      <c r="B194" s="7" t="s">
        <v>555</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556</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557</v>
      </c>
      <c r="C196" s="8" t="s">
        <v>558</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559</v>
      </c>
      <c r="C197" s="8" t="s">
        <v>560</v>
      </c>
      <c r="D197" s="9" t="s">
        <v>561</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562</v>
      </c>
      <c r="C198" s="8" t="s">
        <v>563</v>
      </c>
      <c r="D198" s="9" t="s">
        <v>564</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565</v>
      </c>
      <c r="C199" s="8" t="s">
        <v>566</v>
      </c>
      <c r="D199" s="8" t="s">
        <v>567</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568</v>
      </c>
      <c r="C200" s="8" t="s">
        <v>569</v>
      </c>
      <c r="D200" s="8" t="s">
        <v>570</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571</v>
      </c>
      <c r="C201" s="8" t="s">
        <v>572</v>
      </c>
      <c r="D201" s="8" t="s">
        <v>573</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574</v>
      </c>
      <c r="C202" s="8" t="s">
        <v>575</v>
      </c>
      <c r="D202" s="9" t="s">
        <v>576</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577</v>
      </c>
      <c r="C203" s="8" t="s">
        <v>578</v>
      </c>
      <c r="D203" s="9" t="s">
        <v>579</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580</v>
      </c>
      <c r="C204" s="8" t="s">
        <v>581</v>
      </c>
      <c r="D204" s="9" t="s">
        <v>582</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583</v>
      </c>
      <c r="C205" s="8" t="s">
        <v>584</v>
      </c>
      <c r="D205" s="9" t="s">
        <v>585</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586</v>
      </c>
      <c r="C206" s="8" t="s">
        <v>587</v>
      </c>
      <c r="D206" s="9" t="s">
        <v>588</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589</v>
      </c>
      <c r="C207" s="8" t="s">
        <v>590</v>
      </c>
      <c r="D207" s="9" t="s">
        <v>591</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592</v>
      </c>
      <c r="C208" s="8" t="s">
        <v>593</v>
      </c>
      <c r="D208" s="9" t="s">
        <v>594</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595</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596</v>
      </c>
      <c r="C210" s="8" t="s">
        <v>597</v>
      </c>
      <c r="D210" s="9" t="s">
        <v>598</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599</v>
      </c>
      <c r="C211" s="8" t="s">
        <v>600</v>
      </c>
      <c r="D211" s="9" t="s">
        <v>601</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602</v>
      </c>
      <c r="C212" s="8" t="s">
        <v>603</v>
      </c>
      <c r="D212" s="9" t="s">
        <v>604</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605</v>
      </c>
      <c r="C213" s="8" t="s">
        <v>606</v>
      </c>
      <c r="D213" s="9" t="s">
        <v>607</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608</v>
      </c>
      <c r="C214" s="8" t="s">
        <v>609</v>
      </c>
      <c r="D214" s="11" t="s">
        <v>610</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611</v>
      </c>
      <c r="C215" s="8" t="s">
        <v>612</v>
      </c>
      <c r="D215" s="11" t="s">
        <v>613</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614</v>
      </c>
      <c r="C216" s="8" t="s">
        <v>615</v>
      </c>
      <c r="D216" s="9" t="s">
        <v>616</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617</v>
      </c>
      <c r="C217" s="8" t="s">
        <v>618</v>
      </c>
      <c r="D217" s="9" t="s">
        <v>619</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620</v>
      </c>
      <c r="C218" s="8" t="s">
        <v>621</v>
      </c>
      <c r="D218" s="9" t="s">
        <v>622</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623</v>
      </c>
      <c r="C219" s="8" t="s">
        <v>624</v>
      </c>
      <c r="D219" s="9" t="s">
        <v>625</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626</v>
      </c>
      <c r="C220" s="8" t="s">
        <v>627</v>
      </c>
      <c r="D220" s="9" t="s">
        <v>628</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629</v>
      </c>
      <c r="C221" s="8" t="s">
        <v>630</v>
      </c>
      <c r="D221" s="14" t="s">
        <v>631</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632</v>
      </c>
      <c r="C222" s="8" t="s">
        <v>633</v>
      </c>
      <c r="D222" s="9" t="s">
        <v>634</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635</v>
      </c>
      <c r="C223" s="8" t="s">
        <v>636</v>
      </c>
      <c r="D223" s="9" t="s">
        <v>637</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638</v>
      </c>
      <c r="C224" s="8" t="s">
        <v>639</v>
      </c>
      <c r="D224" s="9" t="s">
        <v>640</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641</v>
      </c>
      <c r="C225" s="8" t="s">
        <v>642</v>
      </c>
      <c r="D225" s="9" t="s">
        <v>643</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644</v>
      </c>
      <c r="C226" s="8" t="s">
        <v>645</v>
      </c>
      <c r="D226" s="9" t="s">
        <v>646</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647</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648</v>
      </c>
      <c r="C228" s="8" t="s">
        <v>649</v>
      </c>
      <c r="D228" s="9" t="s">
        <v>650</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651</v>
      </c>
      <c r="C229" s="8" t="s">
        <v>652</v>
      </c>
      <c r="D229" s="9" t="s">
        <v>653</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654</v>
      </c>
      <c r="C230" s="8" t="s">
        <v>655</v>
      </c>
      <c r="D230" s="14" t="s">
        <v>656</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657</v>
      </c>
      <c r="C231" s="8" t="s">
        <v>289</v>
      </c>
      <c r="D231" s="14" t="s">
        <v>290</v>
      </c>
      <c r="E231" s="15"/>
      <c r="F231" s="16"/>
      <c r="G231" s="29"/>
      <c r="H231" s="20"/>
      <c r="I231" s="16" t="str">
        <f t="shared" si="25"/>
        <v>  "textPoint": "积分",</v>
      </c>
      <c r="J231" s="16" t="str">
        <f t="shared" si="26"/>
        <v>  "textPoint": "Point",</v>
      </c>
      <c r="K231" s="16" t="str">
        <f t="shared" si="27"/>
        <v>  "textPoint": "",</v>
      </c>
      <c r="L231" s="16" t="str">
        <f t="shared" si="28"/>
        <v>  "textPoint": "",</v>
      </c>
      <c r="M231" s="16" t="str">
        <f t="shared" si="29"/>
        <v>  "textPoint": "",</v>
      </c>
    </row>
    <row r="232" ht="23" customHeight="1" spans="1:21">
      <c r="A232" s="28">
        <f t="shared" si="30"/>
        <v>100230</v>
      </c>
      <c r="B232" s="7" t="s">
        <v>658</v>
      </c>
      <c r="C232" s="8" t="s">
        <v>659</v>
      </c>
      <c r="D232" s="14" t="s">
        <v>660</v>
      </c>
      <c r="E232" s="15"/>
      <c r="F232" s="16"/>
      <c r="G232" s="29"/>
      <c r="H232" s="31"/>
      <c r="I232" s="16" t="str">
        <f t="shared" si="25"/>
        <v>  "textPointWithdraw": "积分兑换",</v>
      </c>
      <c r="J232" s="16" t="str">
        <f t="shared" si="26"/>
        <v>  "textPointWithdraw": "Withdraw points",</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661</v>
      </c>
      <c r="C233" s="8" t="s">
        <v>662</v>
      </c>
      <c r="D233" s="9" t="s">
        <v>663</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664</v>
      </c>
      <c r="C234" s="8" t="s">
        <v>665</v>
      </c>
      <c r="D234" s="9" t="s">
        <v>666</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667</v>
      </c>
      <c r="C235" s="8" t="s">
        <v>668</v>
      </c>
      <c r="D235" s="9" t="s">
        <v>669</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670</v>
      </c>
      <c r="C236" s="8" t="s">
        <v>671</v>
      </c>
      <c r="D236" s="9" t="s">
        <v>672</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41.4" spans="1:13">
      <c r="A237" s="28">
        <f t="shared" si="30"/>
        <v>100235</v>
      </c>
      <c r="B237" s="7" t="s">
        <v>673</v>
      </c>
      <c r="C237" s="8" t="s">
        <v>674</v>
      </c>
      <c r="D237" s="9" t="s">
        <v>675</v>
      </c>
      <c r="E237" s="15"/>
      <c r="F237" s="16"/>
      <c r="G237" s="29"/>
      <c r="H237" s="20"/>
      <c r="I237" s="16" t="str">
        <f t="shared" si="25"/>
        <v>  "textProfitRankingDescription": "根据用户历史总积分生成，每天更新",</v>
      </c>
      <c r="J237" s="16" t="str">
        <f t="shared" si="26"/>
        <v>  "textProfitRankingDescription": "Generated according to the total points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676</v>
      </c>
      <c r="C238" s="8" t="s">
        <v>677</v>
      </c>
      <c r="D238" s="9" t="s">
        <v>678</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679</v>
      </c>
      <c r="C239" s="8" t="s">
        <v>680</v>
      </c>
      <c r="D239" s="9" t="s">
        <v>681</v>
      </c>
      <c r="E239" s="15"/>
      <c r="F239" s="16"/>
      <c r="G239" s="29"/>
      <c r="H239" s="20"/>
      <c r="I239" s="16" t="str">
        <f t="shared" si="25"/>
        <v>  "textPublicInvestDescription": "已成为公众问题，结束后投资人可瓜分总积分的{value1}作为奖励。",</v>
      </c>
      <c r="J239" s="16" t="str">
        <f t="shared" si="26"/>
        <v>  "textPublicInvestDescription": "It has become a public question. After the end, investors can share {value1} of the total points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682</v>
      </c>
      <c r="C240" s="8" t="s">
        <v>683</v>
      </c>
      <c r="D240" s="9" t="s">
        <v>684</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685</v>
      </c>
      <c r="C241" s="8" t="s">
        <v>686</v>
      </c>
      <c r="D241" s="9" t="s">
        <v>343</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687</v>
      </c>
      <c r="C242" s="8" t="s">
        <v>688</v>
      </c>
      <c r="D242" s="9" t="s">
        <v>689</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690</v>
      </c>
      <c r="C243" s="8" t="s">
        <v>295</v>
      </c>
      <c r="D243" s="9" t="s">
        <v>296</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691</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692</v>
      </c>
      <c r="C245" s="8" t="s">
        <v>693</v>
      </c>
      <c r="D245" s="9" t="s">
        <v>694</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695</v>
      </c>
      <c r="C246" s="9" t="s">
        <v>696</v>
      </c>
      <c r="D246" s="8" t="s">
        <v>697</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698</v>
      </c>
      <c r="C247" s="8" t="s">
        <v>699</v>
      </c>
      <c r="D247" s="9" t="s">
        <v>700</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701</v>
      </c>
      <c r="C248" s="8" t="s">
        <v>702</v>
      </c>
      <c r="D248" s="9" t="s">
        <v>703</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704</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705</v>
      </c>
      <c r="C250" s="8" t="s">
        <v>706</v>
      </c>
      <c r="D250" s="9" t="s">
        <v>707</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708</v>
      </c>
      <c r="C251" s="8" t="s">
        <v>709</v>
      </c>
      <c r="D251" s="9" t="s">
        <v>710</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711</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712</v>
      </c>
      <c r="C253" s="8" t="s">
        <v>713</v>
      </c>
      <c r="D253" s="9" t="s">
        <v>714</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715</v>
      </c>
      <c r="C254" s="8" t="s">
        <v>716</v>
      </c>
      <c r="D254" s="9" t="s">
        <v>717</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718</v>
      </c>
      <c r="C255" s="8" t="s">
        <v>719</v>
      </c>
      <c r="D255" s="9" t="s">
        <v>720</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721</v>
      </c>
      <c r="C256" s="8" t="s">
        <v>722</v>
      </c>
      <c r="D256" s="9" t="s">
        <v>723</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724</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725</v>
      </c>
      <c r="C258" s="8" t="s">
        <v>726</v>
      </c>
      <c r="D258" s="9" t="s">
        <v>727</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728</v>
      </c>
      <c r="C259" s="8" t="s">
        <v>729</v>
      </c>
      <c r="D259" s="11" t="s">
        <v>730</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731</v>
      </c>
      <c r="C260" s="8" t="s">
        <v>732</v>
      </c>
      <c r="D260" s="9" t="s">
        <v>733</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734</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735</v>
      </c>
      <c r="C262" s="8" t="s">
        <v>736</v>
      </c>
      <c r="D262" s="9" t="s">
        <v>737</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738</v>
      </c>
      <c r="C263" s="8" t="s">
        <v>739</v>
      </c>
      <c r="D263" s="9" t="s">
        <v>740</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741</v>
      </c>
      <c r="C264" s="8" t="s">
        <v>742</v>
      </c>
      <c r="D264" s="9" t="s">
        <v>743</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744</v>
      </c>
      <c r="C265" s="8" t="s">
        <v>745</v>
      </c>
      <c r="D265" s="9" t="s">
        <v>746</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747</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748</v>
      </c>
      <c r="C267" s="8" t="s">
        <v>749</v>
      </c>
      <c r="D267" s="9" t="s">
        <v>750</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751</v>
      </c>
      <c r="C268" s="8" t="s">
        <v>752</v>
      </c>
      <c r="D268" s="9" t="s">
        <v>753</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754</v>
      </c>
      <c r="C269" s="8" t="s">
        <v>755</v>
      </c>
      <c r="D269" s="9" t="s">
        <v>756</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757</v>
      </c>
      <c r="C270" s="8" t="s">
        <v>758</v>
      </c>
      <c r="D270" s="9" t="s">
        <v>759</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760</v>
      </c>
      <c r="C271" s="8" t="s">
        <v>761</v>
      </c>
      <c r="D271" s="14" t="s">
        <v>762</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763</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409.5" spans="1:13">
      <c r="A273" s="28">
        <f t="shared" si="31"/>
        <v>100271</v>
      </c>
      <c r="B273" s="7" t="s">
        <v>764</v>
      </c>
      <c r="C273" s="8" t="s">
        <v>765</v>
      </c>
      <c r="D273" s="14" t="s">
        <v>766</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767</v>
      </c>
      <c r="C274" s="8" t="s">
        <v>768</v>
      </c>
      <c r="D274" s="14" t="s">
        <v>769</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770</v>
      </c>
      <c r="C275" s="8" t="s">
        <v>771</v>
      </c>
      <c r="D275" s="14" t="s">
        <v>771</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772</v>
      </c>
      <c r="C276" s="8" t="s">
        <v>773</v>
      </c>
      <c r="D276" s="16" t="s">
        <v>774</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775</v>
      </c>
      <c r="C277" s="8" t="s">
        <v>776</v>
      </c>
      <c r="D277" s="9" t="s">
        <v>777</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778</v>
      </c>
      <c r="C278" s="8" t="s">
        <v>779</v>
      </c>
      <c r="D278" s="9" t="s">
        <v>780</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781</v>
      </c>
      <c r="C279" s="8" t="s">
        <v>782</v>
      </c>
      <c r="D279" s="9" t="s">
        <v>783</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784</v>
      </c>
      <c r="C280" s="8" t="s">
        <v>785</v>
      </c>
      <c r="D280" s="8" t="s">
        <v>786</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787</v>
      </c>
      <c r="C281" s="8" t="s">
        <v>788</v>
      </c>
      <c r="D281" s="9" t="s">
        <v>789</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790</v>
      </c>
      <c r="C282" s="10" t="s">
        <v>791</v>
      </c>
      <c r="D282" s="13" t="s">
        <v>792</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793</v>
      </c>
      <c r="C283" s="10" t="s">
        <v>794</v>
      </c>
      <c r="D283" s="13" t="s">
        <v>795</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796</v>
      </c>
      <c r="C284" s="10" t="s">
        <v>797</v>
      </c>
      <c r="D284" s="10" t="s">
        <v>798</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799</v>
      </c>
      <c r="C285" s="10" t="s">
        <v>800</v>
      </c>
      <c r="D285" s="13" t="s">
        <v>801</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802</v>
      </c>
      <c r="C286" s="10" t="s">
        <v>803</v>
      </c>
      <c r="D286" s="13" t="s">
        <v>804</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805</v>
      </c>
      <c r="C287" s="10" t="s">
        <v>806</v>
      </c>
      <c r="D287" s="13" t="s">
        <v>807</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808</v>
      </c>
      <c r="C288" s="10" t="s">
        <v>809</v>
      </c>
      <c r="D288" s="13" t="s">
        <v>810</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811</v>
      </c>
      <c r="C289" s="10" t="s">
        <v>812</v>
      </c>
      <c r="D289" s="13" t="s">
        <v>813</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814</v>
      </c>
      <c r="C290" s="10" t="s">
        <v>815</v>
      </c>
      <c r="D290" s="13" t="s">
        <v>816</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817</v>
      </c>
      <c r="C291" s="10" t="s">
        <v>818</v>
      </c>
      <c r="D291" s="13" t="s">
        <v>819</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820</v>
      </c>
      <c r="C292" s="10" t="s">
        <v>821</v>
      </c>
      <c r="D292" s="13" t="s">
        <v>822</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823</v>
      </c>
      <c r="C293" s="10" t="s">
        <v>824</v>
      </c>
      <c r="D293" s="13" t="s">
        <v>825</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826</v>
      </c>
      <c r="C294" s="10" t="s">
        <v>827</v>
      </c>
      <c r="D294" s="13" t="s">
        <v>828</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829</v>
      </c>
      <c r="C295" s="10" t="s">
        <v>830</v>
      </c>
      <c r="D295" s="13" t="s">
        <v>831</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832</v>
      </c>
      <c r="C296" s="10" t="s">
        <v>833</v>
      </c>
      <c r="D296" s="13" t="s">
        <v>762</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82.8" spans="1:13">
      <c r="A297" s="28">
        <f t="shared" si="37"/>
        <v>100295</v>
      </c>
      <c r="B297" s="7" t="s">
        <v>834</v>
      </c>
      <c r="C297" s="10" t="s">
        <v>835</v>
      </c>
      <c r="D297" s="13" t="s">
        <v>836</v>
      </c>
      <c r="I297" s="16" t="str">
        <f t="shared" si="32"/>
        <v>  "textWithdrawSuccessDescription": "积分已兑换成功，USDC已转入你绑定的钱包，继续参与问答赢取积分吧！",</v>
      </c>
      <c r="J297" s="16" t="str">
        <f t="shared" si="33"/>
        <v>  "textWithdrawSuccessDescription": "Points have been successfully exchanged, USDC has been transferred to your bound wallet, continue to participate in the quiz to win points!",</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837</v>
      </c>
      <c r="C298" s="10" t="s">
        <v>838</v>
      </c>
      <c r="D298" s="10" t="s">
        <v>839</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840</v>
      </c>
      <c r="C299" s="10" t="s">
        <v>841</v>
      </c>
      <c r="D299" s="13" t="s">
        <v>842</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843</v>
      </c>
      <c r="C300" s="10" t="s">
        <v>844</v>
      </c>
      <c r="D300" s="13" t="s">
        <v>845</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846</v>
      </c>
      <c r="C301" s="10" t="s">
        <v>847</v>
      </c>
      <c r="D301" s="13" t="s">
        <v>848</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849</v>
      </c>
      <c r="C302" s="10" t="s">
        <v>850</v>
      </c>
      <c r="D302" s="10" t="s">
        <v>851</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852</v>
      </c>
      <c r="C303" s="10" t="s">
        <v>853</v>
      </c>
      <c r="D303" s="10" t="s">
        <v>854</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855</v>
      </c>
      <c r="C304" s="10" t="s">
        <v>856</v>
      </c>
      <c r="D304" s="10" t="s">
        <v>857</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858</v>
      </c>
      <c r="C305" s="10" t="s">
        <v>859</v>
      </c>
      <c r="D305" s="10" t="s">
        <v>860</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861</v>
      </c>
      <c r="C306" s="10" t="s">
        <v>862</v>
      </c>
      <c r="D306" s="10" t="s">
        <v>863</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864</v>
      </c>
      <c r="C307" s="10" t="s">
        <v>865</v>
      </c>
      <c r="D307" s="13" t="s">
        <v>866</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867</v>
      </c>
      <c r="C308" s="10" t="s">
        <v>868</v>
      </c>
      <c r="D308" s="13" t="s">
        <v>869</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870</v>
      </c>
      <c r="C309" s="10" t="s">
        <v>871</v>
      </c>
      <c r="D309" s="13" t="s">
        <v>872</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873</v>
      </c>
      <c r="C310" s="10" t="s">
        <v>874</v>
      </c>
      <c r="D310" s="7" t="s">
        <v>875</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876</v>
      </c>
      <c r="C311" s="10" t="s">
        <v>877</v>
      </c>
      <c r="D311" s="8" t="s">
        <v>878</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879</v>
      </c>
      <c r="C312" s="10" t="s">
        <v>880</v>
      </c>
      <c r="D312" s="13" t="s">
        <v>881</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882</v>
      </c>
      <c r="C313" s="8" t="s">
        <v>883</v>
      </c>
      <c r="D313" s="13" t="s">
        <v>884</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885</v>
      </c>
      <c r="C314" s="8" t="s">
        <v>886</v>
      </c>
      <c r="D314" s="13" t="s">
        <v>887</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888</v>
      </c>
      <c r="C315" s="8" t="s">
        <v>889</v>
      </c>
      <c r="D315" s="13" t="s">
        <v>890</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891</v>
      </c>
      <c r="C316" s="8" t="s">
        <v>892</v>
      </c>
      <c r="D316" s="13" t="s">
        <v>893</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894</v>
      </c>
      <c r="C317" s="10" t="s">
        <v>895</v>
      </c>
      <c r="D317" s="13" t="s">
        <v>896</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897</v>
      </c>
      <c r="C318" s="8" t="s">
        <v>898</v>
      </c>
      <c r="D318" s="13" t="s">
        <v>899</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900</v>
      </c>
      <c r="C319" s="8" t="s">
        <v>901</v>
      </c>
      <c r="D319" s="7" t="s">
        <v>902</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903</v>
      </c>
      <c r="C320" s="10" t="s">
        <v>904</v>
      </c>
      <c r="D320" s="13" t="s">
        <v>905</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906</v>
      </c>
      <c r="C321" s="8" t="s">
        <v>907</v>
      </c>
      <c r="D321" s="13" t="s">
        <v>887</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908</v>
      </c>
      <c r="C322" s="8" t="s">
        <v>907</v>
      </c>
      <c r="D322" s="7" t="s">
        <v>906</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909</v>
      </c>
      <c r="C323" s="5" t="s">
        <v>910</v>
      </c>
      <c r="D323" s="9" t="s">
        <v>911</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912</v>
      </c>
      <c r="C324" s="10" t="s">
        <v>913</v>
      </c>
      <c r="D324" s="13" t="s">
        <v>914</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915</v>
      </c>
      <c r="C325" s="10" t="s">
        <v>916</v>
      </c>
      <c r="D325" s="13" t="s">
        <v>917</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918</v>
      </c>
      <c r="C326" s="10" t="s">
        <v>919</v>
      </c>
      <c r="D326" s="13" t="s">
        <v>920</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921</v>
      </c>
      <c r="C327" s="10" t="s">
        <v>922</v>
      </c>
      <c r="D327" s="13" t="s">
        <v>923</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924</v>
      </c>
      <c r="C328" s="10" t="s">
        <v>925</v>
      </c>
      <c r="D328" s="13" t="s">
        <v>926</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927</v>
      </c>
      <c r="C329" s="10" t="s">
        <v>928</v>
      </c>
      <c r="D329" s="13" t="s">
        <v>929</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930</v>
      </c>
      <c r="C330" s="10" t="s">
        <v>931</v>
      </c>
      <c r="D330" s="13" t="s">
        <v>932</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933</v>
      </c>
      <c r="C331" s="10" t="s">
        <v>934</v>
      </c>
      <c r="D331" s="13" t="s">
        <v>935</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936</v>
      </c>
      <c r="C332" s="10" t="s">
        <v>937</v>
      </c>
      <c r="D332" s="13" t="s">
        <v>938</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939</v>
      </c>
      <c r="C333" s="10" t="s">
        <v>940</v>
      </c>
      <c r="D333" s="13" t="s">
        <v>941</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942</v>
      </c>
      <c r="C334" s="10" t="s">
        <v>943</v>
      </c>
      <c r="D334" s="13" t="s">
        <v>944</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41.4" spans="1:13">
      <c r="A335" s="28">
        <f t="shared" si="37"/>
        <v>100333</v>
      </c>
      <c r="B335" s="7" t="s">
        <v>945</v>
      </c>
      <c r="C335" s="10" t="s">
        <v>946</v>
      </c>
      <c r="D335" s="13" t="s">
        <v>947</v>
      </c>
      <c r="I335" s="16" t="str">
        <f t="shared" si="32"/>
        <v>  "textCreateQuestionDescription": "创建问题需花费{value1}积分，是否继续？",</v>
      </c>
      <c r="J335" s="16" t="str">
        <f t="shared" si="33"/>
        <v>  "textCreateQuestionDescription": "lt costs {value1} points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948</v>
      </c>
      <c r="C336" s="10" t="s">
        <v>949</v>
      </c>
      <c r="D336" s="13" t="s">
        <v>950</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951</v>
      </c>
      <c r="C337" s="10" t="s">
        <v>952</v>
      </c>
      <c r="D337" s="13" t="s">
        <v>953</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954</v>
      </c>
      <c r="C338" s="10" t="s">
        <v>955</v>
      </c>
      <c r="D338" s="13" t="s">
        <v>956</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957</v>
      </c>
      <c r="C339" s="10" t="s">
        <v>958</v>
      </c>
      <c r="D339" s="13" t="s">
        <v>959</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960</v>
      </c>
      <c r="C340" s="10" t="s">
        <v>961</v>
      </c>
      <c r="D340" s="13" t="s">
        <v>962</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963</v>
      </c>
      <c r="C341" s="10" t="s">
        <v>964</v>
      </c>
      <c r="D341" s="13" t="s">
        <v>965</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966</v>
      </c>
      <c r="C342" s="10" t="s">
        <v>967</v>
      </c>
      <c r="D342" s="13" t="s">
        <v>968</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969</v>
      </c>
      <c r="C343" s="10" t="s">
        <v>970</v>
      </c>
      <c r="D343" s="13" t="s">
        <v>971</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972</v>
      </c>
      <c r="C344" s="10" t="s">
        <v>973</v>
      </c>
      <c r="D344" s="13" t="s">
        <v>974</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975</v>
      </c>
      <c r="C345" s="10" t="s">
        <v>976</v>
      </c>
      <c r="D345" s="13" t="s">
        <v>977</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978</v>
      </c>
      <c r="C346" s="10" t="s">
        <v>979</v>
      </c>
      <c r="D346" s="13" t="s">
        <v>980</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981</v>
      </c>
      <c r="C347" s="10" t="s">
        <v>982</v>
      </c>
      <c r="D347" s="13" t="s">
        <v>983</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984</v>
      </c>
      <c r="C348" s="10" t="s">
        <v>985</v>
      </c>
      <c r="D348" s="13" t="s">
        <v>986</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987</v>
      </c>
      <c r="C349" s="10" t="s">
        <v>988</v>
      </c>
      <c r="D349" s="13" t="s">
        <v>989</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990</v>
      </c>
      <c r="C350" s="10" t="s">
        <v>991</v>
      </c>
      <c r="D350" s="13" t="s">
        <v>992</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993</v>
      </c>
      <c r="C351" s="10" t="s">
        <v>994</v>
      </c>
      <c r="D351" s="13" t="s">
        <v>995</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996</v>
      </c>
      <c r="C352" s="10" t="s">
        <v>997</v>
      </c>
      <c r="D352" s="13" t="s">
        <v>998</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999</v>
      </c>
      <c r="C353" s="10" t="s">
        <v>1000</v>
      </c>
      <c r="D353" s="13" t="s">
        <v>1001</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1002</v>
      </c>
      <c r="C354" s="8" t="s">
        <v>1003</v>
      </c>
      <c r="D354" s="9" t="s">
        <v>1004</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1005</v>
      </c>
      <c r="C355" s="8" t="s">
        <v>1006</v>
      </c>
      <c r="D355" s="9" t="s">
        <v>1007</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1008</v>
      </c>
      <c r="C356" s="10" t="s">
        <v>1009</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1010</v>
      </c>
      <c r="C357" s="10" t="s">
        <v>1011</v>
      </c>
      <c r="D357" s="13" t="s">
        <v>1012</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1013</v>
      </c>
      <c r="C358" s="10" t="s">
        <v>1014</v>
      </c>
      <c r="D358" s="13" t="s">
        <v>1015</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41.4" spans="1:13">
      <c r="A359" s="28">
        <f t="shared" ref="A359:A422" si="43">IF(COUNTA(B359)=1,100000+ROW(B359)-2,"")</f>
        <v>100357</v>
      </c>
      <c r="B359" s="7" t="s">
        <v>1016</v>
      </c>
      <c r="C359" s="10" t="s">
        <v>1017</v>
      </c>
      <c r="D359" s="13" t="s">
        <v>1018</v>
      </c>
      <c r="I359" s="16" t="str">
        <f t="shared" si="38"/>
        <v>  "textTradePointSuccess": "已成功交易{value1}积分，当前余额{value2}积分",</v>
      </c>
      <c r="J359" s="16" t="str">
        <f t="shared" si="39"/>
        <v>  "textTradePointSuccess": "Successfully traded {value1} points, current balance {value2} points",</v>
      </c>
      <c r="K359" s="16" t="str">
        <f t="shared" si="40"/>
        <v>  "textTradePointSuccess": "",</v>
      </c>
      <c r="L359" s="16" t="str">
        <f t="shared" si="41"/>
        <v>  "textTradePointSuccess": "",</v>
      </c>
      <c r="M359" s="16" t="str">
        <f t="shared" si="42"/>
        <v>  "textTradePointSuccess": "",</v>
      </c>
    </row>
    <row r="360" spans="1:13">
      <c r="A360" s="28">
        <f t="shared" si="43"/>
        <v>100358</v>
      </c>
      <c r="B360" s="7" t="s">
        <v>1019</v>
      </c>
      <c r="C360" s="10" t="s">
        <v>1020</v>
      </c>
      <c r="D360" s="13" t="s">
        <v>1021</v>
      </c>
      <c r="I360" s="16" t="str">
        <f t="shared" si="38"/>
        <v>  "textBuyingPoint": "积分购买中",</v>
      </c>
      <c r="J360" s="16" t="str">
        <f t="shared" si="39"/>
        <v>  "textBuyingPoint": "Point is being purchased",</v>
      </c>
      <c r="K360" s="16" t="str">
        <f t="shared" si="40"/>
        <v>  "textBuyingPoint": "",</v>
      </c>
      <c r="L360" s="16" t="str">
        <f t="shared" si="41"/>
        <v>  "textBuyingPoint": "",</v>
      </c>
      <c r="M360" s="16" t="str">
        <f t="shared" si="42"/>
        <v>  "textBuyingPoint": "",</v>
      </c>
    </row>
    <row r="361" spans="1:13">
      <c r="A361" s="28">
        <f t="shared" si="43"/>
        <v>100359</v>
      </c>
      <c r="B361" s="7" t="s">
        <v>1022</v>
      </c>
      <c r="C361" s="10" t="s">
        <v>1023</v>
      </c>
      <c r="D361" s="13" t="s">
        <v>1024</v>
      </c>
      <c r="I361" s="16" t="str">
        <f t="shared" si="38"/>
        <v>  "textWithdrawingPoint": "积分兑换中",</v>
      </c>
      <c r="J361" s="16" t="str">
        <f t="shared" si="39"/>
        <v>  "textWithdrawingPoint": "Redeeming points",</v>
      </c>
      <c r="K361" s="16" t="str">
        <f t="shared" si="40"/>
        <v>  "textWithdrawingPoint": "",</v>
      </c>
      <c r="L361" s="16" t="str">
        <f t="shared" si="41"/>
        <v>  "textWithdrawingPoint": "",</v>
      </c>
      <c r="M361" s="16" t="str">
        <f t="shared" si="42"/>
        <v>  "textWithdrawingPoint": "",</v>
      </c>
    </row>
    <row r="362" ht="69" spans="1:13">
      <c r="A362" s="28">
        <f t="shared" si="43"/>
        <v>100360</v>
      </c>
      <c r="B362" s="7" t="s">
        <v>1025</v>
      </c>
      <c r="C362" s="10" t="s">
        <v>1026</v>
      </c>
      <c r="D362" s="13" t="s">
        <v>1027</v>
      </c>
      <c r="I362" s="16" t="str">
        <f t="shared" si="38"/>
        <v>  "textBuyingPointDescription": "积分购买需要一段时间，购买成功后可继续操作，建议您等待",</v>
      </c>
      <c r="J362" s="16" t="str">
        <f t="shared" si="39"/>
        <v>  "textBuyingPointDescription": "It will take a while to purchase points,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55.2" spans="1:13">
      <c r="A363" s="28">
        <f t="shared" si="43"/>
        <v>100361</v>
      </c>
      <c r="B363" s="7" t="s">
        <v>1028</v>
      </c>
      <c r="C363" s="10" t="s">
        <v>1029</v>
      </c>
      <c r="D363" s="13" t="s">
        <v>1030</v>
      </c>
      <c r="I363" s="16" t="str">
        <f t="shared" si="38"/>
        <v>  "textWithdrawingPointDescription": "积分提现需要一段时间，兑换成功后可继续操作，建议您等待",</v>
      </c>
      <c r="J363" s="16" t="str">
        <f t="shared" si="39"/>
        <v>  "textWithdrawingPointDescription": "Points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1031</v>
      </c>
      <c r="C364" s="10" t="s">
        <v>1032</v>
      </c>
      <c r="D364" s="13" t="s">
        <v>1033</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1034</v>
      </c>
      <c r="C365" s="10" t="s">
        <v>1035</v>
      </c>
      <c r="D365" s="13" t="s">
        <v>1036</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1037</v>
      </c>
      <c r="C366" s="10" t="s">
        <v>1038</v>
      </c>
      <c r="D366" s="13" t="s">
        <v>1039</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1040</v>
      </c>
      <c r="C367" s="10" t="s">
        <v>1041</v>
      </c>
      <c r="D367" s="13" t="s">
        <v>1042</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1043</v>
      </c>
      <c r="C368" s="10" t="s">
        <v>1044</v>
      </c>
      <c r="D368" s="13" t="s">
        <v>1045</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1046</v>
      </c>
      <c r="C369" s="10" t="s">
        <v>1047</v>
      </c>
      <c r="D369" s="13" t="s">
        <v>905</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1048</v>
      </c>
      <c r="C370" s="10" t="s">
        <v>1049</v>
      </c>
      <c r="D370" s="13" t="s">
        <v>1050</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1051</v>
      </c>
      <c r="C371" s="10" t="s">
        <v>1052</v>
      </c>
      <c r="D371" s="13" t="s">
        <v>1053</v>
      </c>
      <c r="I371" s="16" t="str">
        <f t="shared" si="38"/>
        <v>  "tagPointDetail": "积分明细",</v>
      </c>
      <c r="J371" s="16" t="str">
        <f t="shared" si="39"/>
        <v>  "tagPointDetail": "Points Details",</v>
      </c>
      <c r="K371" s="16" t="str">
        <f t="shared" si="40"/>
        <v>  "tagPointDetail": "",</v>
      </c>
      <c r="L371" s="16" t="str">
        <f t="shared" si="41"/>
        <v>  "tagPointDetail": "",</v>
      </c>
      <c r="M371" s="16" t="str">
        <f t="shared" si="42"/>
        <v>  "tagPointDetail": "",</v>
      </c>
    </row>
    <row r="372" spans="1:13">
      <c r="A372" s="28">
        <f t="shared" si="43"/>
        <v>100370</v>
      </c>
      <c r="B372" s="7" t="s">
        <v>1054</v>
      </c>
      <c r="C372" s="10" t="s">
        <v>1055</v>
      </c>
      <c r="D372" s="13" t="s">
        <v>1056</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1057</v>
      </c>
      <c r="C373" s="10" t="s">
        <v>1058</v>
      </c>
      <c r="D373" s="13" t="s">
        <v>1059</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1060</v>
      </c>
      <c r="C374" s="10" t="s">
        <v>1061</v>
      </c>
      <c r="D374" s="13" t="s">
        <v>1062</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1063</v>
      </c>
      <c r="C375" s="10" t="s">
        <v>1064</v>
      </c>
      <c r="D375" s="10" t="s">
        <v>1065</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1066</v>
      </c>
      <c r="C376" s="10" t="s">
        <v>1067</v>
      </c>
      <c r="D376" s="10" t="s">
        <v>1068</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1069</v>
      </c>
      <c r="C377" s="10" t="s">
        <v>1070</v>
      </c>
      <c r="D377" s="13" t="s">
        <v>1071</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1072</v>
      </c>
      <c r="C378" s="10" t="s">
        <v>1073</v>
      </c>
      <c r="D378" s="13" t="s">
        <v>1074</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1075</v>
      </c>
      <c r="C379" s="10" t="s">
        <v>1076</v>
      </c>
      <c r="D379" s="13" t="s">
        <v>1077</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1078</v>
      </c>
      <c r="C380" s="10" t="s">
        <v>1079</v>
      </c>
      <c r="D380" s="13" t="s">
        <v>1080</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1081</v>
      </c>
      <c r="C381" s="10" t="s">
        <v>1082</v>
      </c>
      <c r="D381" s="13" t="s">
        <v>1083</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1084</v>
      </c>
      <c r="C382" s="10" t="s">
        <v>1085</v>
      </c>
      <c r="D382" s="13" t="s">
        <v>995</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"注入{value1}积分",</v>
      </c>
      <c r="J383" s="16" t="str">
        <f t="shared" si="39"/>
        <v>  "textInjectPointAmount": "Inject {value1} points",</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"你的投资额(积分)",</v>
      </c>
      <c r="J389" s="16" t="str">
        <f t="shared" si="39"/>
        <v>  "textYourInvestmentPoint": "Your investment (Points)",</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"积分余额:",</v>
      </c>
      <c r="J390" s="16" t="str">
        <f t="shared" si="39"/>
        <v>  "textPointBalance": "Points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1131</v>
      </c>
      <c r="C398" s="10" t="s">
        <v>1132</v>
      </c>
      <c r="D398" s="10" t="s">
        <v>1133</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"保存",</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944</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1167</v>
      </c>
      <c r="I410" s="16" t="str">
        <f t="shared" si="44"/>
        <v>  "typeInjectPoint": "注入积分",</v>
      </c>
      <c r="J410" s="16" t="str">
        <f t="shared" si="45"/>
        <v>  "typeInjectPoint": "Inject Points",</v>
      </c>
      <c r="K410" s="16" t="str">
        <f t="shared" si="46"/>
        <v>  "typeInjectPoint": "",</v>
      </c>
      <c r="L410" s="16" t="str">
        <f t="shared" si="47"/>
        <v>  "typeInjectPoint": "",</v>
      </c>
      <c r="M410" s="16" t="str">
        <f t="shared" si="48"/>
        <v>  "typeInjectPoint": "",</v>
      </c>
    </row>
    <row r="411" spans="1:13">
      <c r="A411" s="28">
        <f t="shared" si="43"/>
        <v>100409</v>
      </c>
      <c r="B411" s="7" t="s">
        <v>1168</v>
      </c>
      <c r="C411" s="10" t="s">
        <v>1169</v>
      </c>
      <c r="D411" s="13" t="s">
        <v>1170</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1171</v>
      </c>
      <c r="C412" s="10" t="s">
        <v>1172</v>
      </c>
      <c r="D412" s="13" t="s">
        <v>1173</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1174</v>
      </c>
      <c r="C413" s="10" t="s">
        <v>1175</v>
      </c>
      <c r="D413" s="13" t="s">
        <v>1176</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1177</v>
      </c>
      <c r="C414" s="10" t="s">
        <v>1178</v>
      </c>
      <c r="D414" s="13" t="s">
        <v>1179</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1180</v>
      </c>
      <c r="C415" s="10" t="s">
        <v>549</v>
      </c>
      <c r="D415" s="13" t="s">
        <v>1181</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1182</v>
      </c>
      <c r="C416" s="10" t="s">
        <v>529</v>
      </c>
      <c r="D416" s="13" t="s">
        <v>1183</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1184</v>
      </c>
      <c r="C417" s="10" t="s">
        <v>1185</v>
      </c>
      <c r="D417" s="13" t="s">
        <v>1186</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1187</v>
      </c>
      <c r="C418" s="10" t="s">
        <v>1188</v>
      </c>
      <c r="D418" s="13" t="s">
        <v>1186</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1189</v>
      </c>
      <c r="C419" s="10" t="s">
        <v>1190</v>
      </c>
      <c r="D419" s="13" t="s">
        <v>1191</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1192</v>
      </c>
      <c r="C420" s="10" t="s">
        <v>1193</v>
      </c>
      <c r="D420" s="13" t="s">
        <v>1194</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1195</v>
      </c>
      <c r="C421" s="10" t="s">
        <v>1196</v>
      </c>
      <c r="D421" s="13" t="s">
        <v>1197</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1198</v>
      </c>
      <c r="C422" s="10" t="s">
        <v>1199</v>
      </c>
      <c r="D422" s="13" t="s">
        <v>1200</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1201</v>
      </c>
      <c r="C423" s="10" t="s">
        <v>1202</v>
      </c>
      <c r="D423" s="13" t="s">
        <v>1203</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1204</v>
      </c>
      <c r="C424" s="10" t="s">
        <v>1205</v>
      </c>
      <c r="D424" s="13" t="s">
        <v>1206</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1207</v>
      </c>
      <c r="C425" s="10" t="s">
        <v>1208</v>
      </c>
      <c r="D425" s="13" t="s">
        <v>1208</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1209</v>
      </c>
      <c r="C426" s="10" t="s">
        <v>1210</v>
      </c>
      <c r="D426" s="13" t="s">
        <v>1211</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1212</v>
      </c>
      <c r="C427" s="10" t="s">
        <v>1213</v>
      </c>
      <c r="D427" s="13" t="s">
        <v>1214</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1215</v>
      </c>
      <c r="C428" s="10" t="s">
        <v>1216</v>
      </c>
      <c r="D428" s="13" t="s">
        <v>1217</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1218</v>
      </c>
      <c r="C429" s="10" t="s">
        <v>1219</v>
      </c>
      <c r="D429" s="13" t="s">
        <v>1220</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1221</v>
      </c>
      <c r="C430" s="10" t="s">
        <v>1222</v>
      </c>
      <c r="D430" s="13" t="s">
        <v>1223</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1224</v>
      </c>
      <c r="C431" s="10" t="s">
        <v>1225</v>
      </c>
      <c r="D431" s="13" t="s">
        <v>1226</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1227</v>
      </c>
      <c r="C432" s="10" t="s">
        <v>1228</v>
      </c>
      <c r="D432" s="13" t="s">
        <v>1229</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1230</v>
      </c>
      <c r="C433" s="10" t="s">
        <v>1231</v>
      </c>
      <c r="D433" s="13" t="s">
        <v>1232</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1233</v>
      </c>
      <c r="C434" s="5" t="s">
        <v>1234</v>
      </c>
      <c r="D434" s="13" t="s">
        <v>1235</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1236</v>
      </c>
      <c r="C435" s="10" t="s">
        <v>1237</v>
      </c>
      <c r="D435" s="13" t="s">
        <v>1238</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1239</v>
      </c>
      <c r="C436" s="10" t="s">
        <v>1144</v>
      </c>
      <c r="D436" s="13" t="s">
        <v>1240</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1241</v>
      </c>
      <c r="C437" s="10" t="s">
        <v>1242</v>
      </c>
      <c r="D437" s="13" t="s">
        <v>1243</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1244</v>
      </c>
      <c r="C438" s="10" t="s">
        <v>1245</v>
      </c>
      <c r="D438" s="13" t="s">
        <v>1246</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1247</v>
      </c>
      <c r="C439" s="5" t="s">
        <v>1248</v>
      </c>
      <c r="D439" s="13" t="s">
        <v>1249</v>
      </c>
      <c r="I439" s="16" t="str">
        <f t="shared" si="44"/>
        <v>  "textPointDescription": "积分可以用于答题、评论、点赞和提问功能",</v>
      </c>
      <c r="J439" s="16" t="str">
        <f t="shared" si="45"/>
        <v>  "textPointDescription": "Point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1250</v>
      </c>
      <c r="C440" s="10" t="s">
        <v>1251</v>
      </c>
      <c r="D440" s="13" t="s">
        <v>1252</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1253</v>
      </c>
      <c r="C441" s="10" t="s">
        <v>1254</v>
      </c>
      <c r="D441" s="13" t="s">
        <v>1255</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1256</v>
      </c>
      <c r="C442" s="10" t="s">
        <v>1257</v>
      </c>
      <c r="D442" s="13" t="s">
        <v>1258</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1259</v>
      </c>
      <c r="C443" s="10" t="s">
        <v>1260</v>
      </c>
      <c r="D443" s="13" t="s">
        <v>1261</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1262</v>
      </c>
      <c r="C444" s="10" t="s">
        <v>1263</v>
      </c>
      <c r="D444" s="13" t="s">
        <v>1264</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1265</v>
      </c>
      <c r="C445" s="10" t="s">
        <v>1266</v>
      </c>
      <c r="D445" s="13" t="s">
        <v>1267</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1268</v>
      </c>
      <c r="C446" s="10" t="s">
        <v>1269</v>
      </c>
      <c r="D446" s="13" t="s">
        <v>1270</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1271</v>
      </c>
      <c r="C447" s="10" t="s">
        <v>1272</v>
      </c>
      <c r="D447" s="13" t="s">
        <v>1273</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1274</v>
      </c>
      <c r="C448" s="10" t="s">
        <v>1275</v>
      </c>
      <c r="D448" s="13" t="s">
        <v>1276</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1277</v>
      </c>
      <c r="C449" s="10" t="s">
        <v>1278</v>
      </c>
      <c r="D449" s="13" t="s">
        <v>1279</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1280</v>
      </c>
      <c r="C450" s="10" t="s">
        <v>1281</v>
      </c>
      <c r="D450" s="13" t="s">
        <v>1282</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1283</v>
      </c>
      <c r="C451" s="10" t="s">
        <v>1284</v>
      </c>
      <c r="D451" s="13" t="s">
        <v>1285</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1286</v>
      </c>
      <c r="C452" s="10" t="s">
        <v>1287</v>
      </c>
      <c r="D452" s="13" t="s">
        <v>1288</v>
      </c>
      <c r="I452" s="16" t="str">
        <f t="shared" si="44"/>
        <v>  "btnAlbum": "相册",</v>
      </c>
      <c r="J452" s="16" t="str">
        <f t="shared" si="45"/>
        <v>  "btnAlbum": "Album",</v>
      </c>
      <c r="K452" s="16" t="str">
        <f t="shared" si="46"/>
        <v>  "btnAlbum": "",</v>
      </c>
      <c r="L452" s="16" t="str">
        <f t="shared" si="47"/>
        <v>  "btnAlbum": "",</v>
      </c>
      <c r="M452" s="16" t="str">
        <f t="shared" si="48"/>
        <v>  "btnAlbum": "",</v>
      </c>
    </row>
    <row r="453" spans="1:13">
      <c r="A453" s="28">
        <f t="shared" si="51"/>
        <v>100451</v>
      </c>
      <c r="B453" s="7" t="s">
        <v>1289</v>
      </c>
      <c r="C453" s="10" t="s">
        <v>1290</v>
      </c>
      <c r="D453" s="13" t="s">
        <v>1291</v>
      </c>
      <c r="E453" s="5"/>
      <c r="I453" s="16" t="str">
        <f t="shared" si="44"/>
        <v>  "tipsInsufficientPoint": "积分不足",</v>
      </c>
      <c r="J453" s="16" t="str">
        <f t="shared" si="45"/>
        <v>  "tipsInsufficientPoint": "Insufficient points",</v>
      </c>
      <c r="K453" s="16" t="str">
        <f t="shared" si="46"/>
        <v>  "tipsInsufficientPoint": "",</v>
      </c>
      <c r="L453" s="16" t="str">
        <f t="shared" si="47"/>
        <v>  "tipsInsufficientPoint": "",</v>
      </c>
      <c r="M453" s="16" t="str">
        <f t="shared" si="48"/>
        <v>  "tipsInsufficientPoint": "",</v>
      </c>
    </row>
    <row r="454" spans="1:13">
      <c r="A454" s="28">
        <f t="shared" si="51"/>
        <v>100452</v>
      </c>
      <c r="B454" s="7" t="s">
        <v>1292</v>
      </c>
      <c r="C454" s="10" t="s">
        <v>1293</v>
      </c>
      <c r="D454" s="13" t="s">
        <v>1294</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1295</v>
      </c>
      <c r="C455" s="10" t="s">
        <v>1296</v>
      </c>
      <c r="D455" s="13" t="s">
        <v>1297</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1298</v>
      </c>
      <c r="C456" s="10" t="s">
        <v>1299</v>
      </c>
      <c r="D456" s="13" t="s">
        <v>1300</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1301</v>
      </c>
      <c r="C457" s="10" t="s">
        <v>1302</v>
      </c>
      <c r="D457" s="13" t="s">
        <v>1303</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1304</v>
      </c>
      <c r="C458" s="10" t="s">
        <v>1305</v>
      </c>
      <c r="D458" s="13" t="s">
        <v>1306</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1307</v>
      </c>
      <c r="C459" s="10" t="s">
        <v>1308</v>
      </c>
      <c r="D459" s="13" t="s">
        <v>1309</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1310</v>
      </c>
      <c r="C460" s="10" t="s">
        <v>1311</v>
      </c>
      <c r="D460" s="13" t="s">
        <v>1312</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1313</v>
      </c>
      <c r="C461" s="10" t="s">
        <v>1314</v>
      </c>
      <c r="D461" s="13" t="s">
        <v>1315</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1316</v>
      </c>
      <c r="C462" s="10" t="s">
        <v>1317</v>
      </c>
      <c r="D462" s="13" t="s">
        <v>1318</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1319</v>
      </c>
      <c r="C463" s="10" t="s">
        <v>1320</v>
      </c>
      <c r="D463" s="13" t="s">
        <v>1321</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1322</v>
      </c>
      <c r="C464" s="10" t="s">
        <v>1323</v>
      </c>
      <c r="D464" s="13" t="s">
        <v>1324</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1325</v>
      </c>
      <c r="C465" s="10" t="s">
        <v>1326</v>
      </c>
      <c r="D465" s="13" t="s">
        <v>1327</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1328</v>
      </c>
      <c r="C466" s="10" t="s">
        <v>1329</v>
      </c>
      <c r="D466" s="13" t="s">
        <v>1330</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1331</v>
      </c>
      <c r="C467" s="10" t="s">
        <v>1332</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1333</v>
      </c>
      <c r="C468" s="10" t="s">
        <v>1334</v>
      </c>
      <c r="D468" s="13" t="s">
        <v>1335</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1336</v>
      </c>
      <c r="C469" s="10" t="s">
        <v>1337</v>
      </c>
      <c r="D469" s="18" t="s">
        <v>1338</v>
      </c>
      <c r="I469" s="16" t="str">
        <f t="shared" si="52"/>
        <v>  "tipsMinInvestPoint": "最小投资{value1}积分",</v>
      </c>
      <c r="J469" s="16" t="str">
        <f t="shared" si="53"/>
        <v>  "tipsMinInvestPoint": "Minimum investment of {value1} points",</v>
      </c>
      <c r="K469" s="16" t="str">
        <f t="shared" si="54"/>
        <v>  "tipsMinInvestPoint": "",</v>
      </c>
      <c r="L469" s="16" t="str">
        <f t="shared" si="55"/>
        <v>  "tipsMinInvestPoint": "",</v>
      </c>
      <c r="M469" s="16" t="str">
        <f t="shared" si="56"/>
        <v>  "tipsMinInvestPoint": "",</v>
      </c>
    </row>
    <row r="470" spans="1:13">
      <c r="A470" s="28">
        <f t="shared" si="51"/>
        <v>100468</v>
      </c>
      <c r="B470" s="7" t="s">
        <v>1339</v>
      </c>
      <c r="C470" s="10" t="s">
        <v>192</v>
      </c>
      <c r="D470" s="10" t="s">
        <v>1340</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1341</v>
      </c>
      <c r="C471" s="10" t="s">
        <v>1342</v>
      </c>
      <c r="D471" s="18" t="s">
        <v>1343</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1344</v>
      </c>
      <c r="C472" s="10" t="s">
        <v>1345</v>
      </c>
      <c r="D472" s="18" t="s">
        <v>1346</v>
      </c>
      <c r="I472" s="16" t="str">
        <f t="shared" si="52"/>
        <v>  "tipsPointCanNotEmpty": "输入的积分不能为空",</v>
      </c>
      <c r="J472" s="16" t="str">
        <f t="shared" si="53"/>
        <v>  "tipsPointCanNotEmpty": "Points cannot be empty",</v>
      </c>
      <c r="K472" s="16" t="str">
        <f t="shared" si="54"/>
        <v>  "tipsPointCanNotEmpty": "",</v>
      </c>
      <c r="L472" s="16" t="str">
        <f t="shared" si="55"/>
        <v>  "tipsPointCanNotEmpty": "",</v>
      </c>
      <c r="M472" s="16" t="str">
        <f t="shared" si="56"/>
        <v>  "tipsPointCanNotEmpty": "",</v>
      </c>
    </row>
    <row r="473" spans="1:13">
      <c r="A473" s="28">
        <f t="shared" si="51"/>
        <v>100471</v>
      </c>
      <c r="B473" s="7" t="s">
        <v>1347</v>
      </c>
      <c r="C473" s="10" t="s">
        <v>1348</v>
      </c>
      <c r="D473" s="13" t="s">
        <v>1349</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1350</v>
      </c>
      <c r="C474" s="10" t="s">
        <v>1351</v>
      </c>
      <c r="D474" s="13" t="s">
        <v>1352</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1353</v>
      </c>
      <c r="C475" s="10" t="s">
        <v>1351</v>
      </c>
      <c r="D475" s="13" t="s">
        <v>1352</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1354</v>
      </c>
      <c r="C476" s="10" t="s">
        <v>1351</v>
      </c>
      <c r="D476" s="13" t="s">
        <v>1352</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1355</v>
      </c>
      <c r="C477" s="10" t="s">
        <v>1356</v>
      </c>
      <c r="D477" s="13" t="s">
        <v>1357</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1358</v>
      </c>
      <c r="C478" s="10" t="s">
        <v>1359</v>
      </c>
      <c r="D478" s="13" t="s">
        <v>1360</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1361</v>
      </c>
      <c r="C479" s="13" t="s">
        <v>1362</v>
      </c>
      <c r="D479" s="13" t="s">
        <v>1362</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1363</v>
      </c>
      <c r="C480" s="13" t="s">
        <v>1364</v>
      </c>
      <c r="D480" s="13" t="s">
        <v>1364</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1365</v>
      </c>
      <c r="C481" s="10" t="s">
        <v>1366</v>
      </c>
      <c r="D481" s="13" t="s">
        <v>1367</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1368</v>
      </c>
      <c r="C482" s="10" t="s">
        <v>1369</v>
      </c>
      <c r="D482" s="13" t="s">
        <v>1370</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1371</v>
      </c>
      <c r="C483" s="10" t="s">
        <v>1372</v>
      </c>
      <c r="D483" s="13" t="s">
        <v>1373</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1374</v>
      </c>
      <c r="C484" s="10" t="s">
        <v>1375</v>
      </c>
      <c r="D484" s="13" t="s">
        <v>1376</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1377</v>
      </c>
      <c r="C485" s="10" t="s">
        <v>1378</v>
      </c>
      <c r="D485" s="13" t="s">
        <v>1379</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1380</v>
      </c>
      <c r="C486" s="10" t="s">
        <v>1381</v>
      </c>
      <c r="D486" s="13" t="s">
        <v>1382</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1383</v>
      </c>
      <c r="C487" s="10" t="s">
        <v>1384</v>
      </c>
      <c r="D487" s="13" t="s">
        <v>1385</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1386</v>
      </c>
      <c r="C488" s="10" t="s">
        <v>1387</v>
      </c>
      <c r="D488" s="13" t="s">
        <v>1388</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1389</v>
      </c>
      <c r="C489" s="10" t="s">
        <v>1390</v>
      </c>
      <c r="D489" s="13" t="s">
        <v>1391</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1392</v>
      </c>
      <c r="C490" s="10" t="s">
        <v>1393</v>
      </c>
      <c r="D490" s="13" t="s">
        <v>1394</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1395</v>
      </c>
      <c r="C491" s="10" t="s">
        <v>1396</v>
      </c>
      <c r="D491" s="13" t="s">
        <v>1397</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1398</v>
      </c>
      <c r="C492" s="10" t="s">
        <v>1399</v>
      </c>
      <c r="D492" s="13" t="s">
        <v>1400</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1401</v>
      </c>
      <c r="C493" s="10" t="s">
        <v>1402</v>
      </c>
      <c r="D493" s="13" t="s">
        <v>1403</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1404</v>
      </c>
      <c r="C494" s="10" t="s">
        <v>1405</v>
      </c>
      <c r="D494" s="13" t="s">
        <v>1406</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1407</v>
      </c>
      <c r="C495" s="10" t="s">
        <v>1408</v>
      </c>
      <c r="D495" s="13" t="s">
        <v>1409</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1410</v>
      </c>
      <c r="C496" s="10" t="s">
        <v>1411</v>
      </c>
      <c r="D496" s="13" t="s">
        <v>1412</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1413</v>
      </c>
      <c r="C497" s="10" t="s">
        <v>1414</v>
      </c>
      <c r="D497" s="13" t="s">
        <v>1415</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1416</v>
      </c>
      <c r="C498" s="10" t="s">
        <v>1417</v>
      </c>
      <c r="D498" s="13" t="s">
        <v>1418</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1419</v>
      </c>
      <c r="C499" s="10" t="s">
        <v>1420</v>
      </c>
      <c r="D499" s="13" t="s">
        <v>1421</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1422</v>
      </c>
      <c r="C500" s="10" t="s">
        <v>1423</v>
      </c>
      <c r="D500" s="13" t="s">
        <v>1424</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1425</v>
      </c>
      <c r="C501" s="10" t="s">
        <v>1426</v>
      </c>
      <c r="D501" s="13" t="s">
        <v>1427</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1428</v>
      </c>
      <c r="C502" s="10" t="s">
        <v>1429</v>
      </c>
      <c r="D502" s="13" t="s">
        <v>1430</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1431</v>
      </c>
      <c r="C503" s="10" t="s">
        <v>919</v>
      </c>
      <c r="D503" s="13" t="s">
        <v>1432</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1433</v>
      </c>
      <c r="C504" s="10" t="s">
        <v>1434</v>
      </c>
      <c r="D504" s="13" t="s">
        <v>1435</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1436</v>
      </c>
      <c r="C505" s="10" t="s">
        <v>1437</v>
      </c>
      <c r="D505" s="13" t="s">
        <v>1438</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1439</v>
      </c>
      <c r="C506" s="10" t="s">
        <v>1440</v>
      </c>
      <c r="D506" s="13" t="s">
        <v>1441</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1442</v>
      </c>
      <c r="C507" s="10" t="s">
        <v>1443</v>
      </c>
      <c r="D507" s="13" t="s">
        <v>1444</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1445</v>
      </c>
      <c r="C508" s="10" t="s">
        <v>1446</v>
      </c>
      <c r="D508" s="13" t="s">
        <v>1447</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1448</v>
      </c>
      <c r="C509" s="10" t="s">
        <v>1449</v>
      </c>
      <c r="D509" s="13" t="s">
        <v>1450</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1451</v>
      </c>
      <c r="C510" s="10" t="s">
        <v>1452</v>
      </c>
      <c r="D510" s="13" t="s">
        <v>1453</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1454</v>
      </c>
      <c r="C511" s="10" t="s">
        <v>1455</v>
      </c>
      <c r="D511" s="13" t="s">
        <v>1456</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1457</v>
      </c>
      <c r="C512" s="10" t="s">
        <v>1458</v>
      </c>
      <c r="D512" s="13" t="s">
        <v>1459</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1460</v>
      </c>
      <c r="C513" s="10" t="s">
        <v>1461</v>
      </c>
      <c r="D513" s="13" t="s">
        <v>1462</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1463</v>
      </c>
      <c r="C514" s="10" t="s">
        <v>1464</v>
      </c>
      <c r="D514" s="13" t="s">
        <v>1465</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1466</v>
      </c>
      <c r="C515" s="10" t="s">
        <v>1467</v>
      </c>
      <c r="D515" s="13" t="s">
        <v>1468</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1469</v>
      </c>
      <c r="C516" s="10" t="s">
        <v>1470</v>
      </c>
      <c r="D516" s="13" t="s">
        <v>1471</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1472</v>
      </c>
      <c r="C517" s="10" t="s">
        <v>1473</v>
      </c>
      <c r="D517" s="13" t="s">
        <v>1474</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1475</v>
      </c>
      <c r="C518" s="10" t="s">
        <v>1476</v>
      </c>
      <c r="D518" s="13" t="s">
        <v>1477</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1478</v>
      </c>
      <c r="C519" s="10" t="s">
        <v>1479</v>
      </c>
      <c r="D519" s="13" t="s">
        <v>1480</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1481</v>
      </c>
      <c r="C520" s="10" t="s">
        <v>1482</v>
      </c>
      <c r="D520" s="13" t="s">
        <v>1483</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1484</v>
      </c>
      <c r="C521" s="10" t="s">
        <v>1485</v>
      </c>
      <c r="D521" s="13" t="s">
        <v>1486</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1487</v>
      </c>
      <c r="C522" s="10" t="s">
        <v>1488</v>
      </c>
      <c r="D522" s="13" t="s">
        <v>1489</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1490</v>
      </c>
      <c r="C523" s="10" t="s">
        <v>1467</v>
      </c>
      <c r="D523" s="13" t="s">
        <v>1491</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1492</v>
      </c>
      <c r="C524" s="10" t="s">
        <v>1493</v>
      </c>
      <c r="D524" s="13" t="s">
        <v>1494</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1495</v>
      </c>
      <c r="C525" s="10" t="s">
        <v>1496</v>
      </c>
      <c r="D525" s="13" t="s">
        <v>1497</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1498</v>
      </c>
      <c r="C526" s="10" t="s">
        <v>1499</v>
      </c>
      <c r="D526" s="13" t="s">
        <v>1500</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1501</v>
      </c>
      <c r="C527" s="10" t="s">
        <v>1502</v>
      </c>
      <c r="D527" s="13" t="s">
        <v>1503</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1504</v>
      </c>
      <c r="C528" s="10" t="s">
        <v>1505</v>
      </c>
      <c r="D528" s="13" t="s">
        <v>1506</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1507</v>
      </c>
      <c r="C529" s="10" t="s">
        <v>1508</v>
      </c>
      <c r="D529" s="13" t="s">
        <v>1509</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1510</v>
      </c>
      <c r="C530" s="10" t="s">
        <v>1511</v>
      </c>
      <c r="D530" s="13" t="s">
        <v>1512</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1513</v>
      </c>
      <c r="C531" s="10" t="s">
        <v>1514</v>
      </c>
      <c r="D531" s="13" t="s">
        <v>1515</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1516</v>
      </c>
      <c r="C532" s="10" t="s">
        <v>1517</v>
      </c>
      <c r="D532" s="13" t="s">
        <v>1518</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1519</v>
      </c>
      <c r="C533" s="10" t="s">
        <v>1520</v>
      </c>
      <c r="D533" s="13" t="s">
        <v>1521</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1522</v>
      </c>
      <c r="C534" s="10" t="s">
        <v>1523</v>
      </c>
      <c r="D534" s="13" t="s">
        <v>1524</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1525</v>
      </c>
      <c r="C535" s="10" t="s">
        <v>1526</v>
      </c>
      <c r="D535" s="13" t="s">
        <v>1527</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1528</v>
      </c>
      <c r="C536" s="10" t="s">
        <v>1529</v>
      </c>
      <c r="D536" s="13" t="s">
        <v>1530</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1531</v>
      </c>
      <c r="C537" s="10" t="s">
        <v>1532</v>
      </c>
      <c r="D537" s="13" t="s">
        <v>1533</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1534</v>
      </c>
      <c r="C538" s="10" t="s">
        <v>1535</v>
      </c>
      <c r="D538" s="13" t="s">
        <v>1536</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1537</v>
      </c>
      <c r="C539" s="10" t="s">
        <v>1538</v>
      </c>
      <c r="D539" s="13" t="s">
        <v>1539</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1540</v>
      </c>
      <c r="C540" s="10" t="s">
        <v>1541</v>
      </c>
      <c r="D540" s="13" t="s">
        <v>1542</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1543</v>
      </c>
      <c r="C541" s="10" t="s">
        <v>1544</v>
      </c>
      <c r="D541" s="13" t="s">
        <v>1545</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1546</v>
      </c>
      <c r="C542" s="10" t="s">
        <v>1547</v>
      </c>
      <c r="D542" s="13" t="s">
        <v>1548</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1549</v>
      </c>
      <c r="C543" s="10" t="s">
        <v>1550</v>
      </c>
      <c r="D543" s="13" t="s">
        <v>1551</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1552</v>
      </c>
      <c r="C544" s="10" t="s">
        <v>1553</v>
      </c>
      <c r="D544" s="13" t="s">
        <v>1554</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1555</v>
      </c>
      <c r="C545" s="10" t="s">
        <v>1556</v>
      </c>
      <c r="D545" s="13" t="s">
        <v>1557</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1558</v>
      </c>
      <c r="C546" s="10" t="s">
        <v>1559</v>
      </c>
      <c r="D546" s="13" t="s">
        <v>1560</v>
      </c>
      <c r="I546" s="16" t="str">
        <f t="shared" si="58"/>
        <v>  "error3025": "用户积分不足",</v>
      </c>
      <c r="J546" s="16" t="str">
        <f t="shared" si="59"/>
        <v>  "error3025": "failed to deduct points",</v>
      </c>
      <c r="K546" s="16" t="str">
        <f t="shared" si="60"/>
        <v>  "error3025": "",</v>
      </c>
      <c r="L546" s="16" t="str">
        <f t="shared" si="61"/>
        <v>  "error3025": "",</v>
      </c>
      <c r="M546" s="16" t="str">
        <f t="shared" si="62"/>
        <v>  "error3025": "",</v>
      </c>
    </row>
    <row r="547" ht="27.6" spans="1:13">
      <c r="A547" s="28">
        <f t="shared" si="57"/>
        <v>100545</v>
      </c>
      <c r="B547" s="7" t="s">
        <v>1561</v>
      </c>
      <c r="C547" s="10" t="s">
        <v>1562</v>
      </c>
      <c r="D547" s="13" t="s">
        <v>1563</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1564</v>
      </c>
      <c r="C548" s="10" t="s">
        <v>1565</v>
      </c>
      <c r="D548" s="13" t="s">
        <v>1566</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1567</v>
      </c>
      <c r="C549" s="10" t="s">
        <v>1568</v>
      </c>
      <c r="D549" s="13" t="s">
        <v>1569</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1570</v>
      </c>
      <c r="C550" s="10" t="s">
        <v>1571</v>
      </c>
      <c r="D550" s="13" t="s">
        <v>1572</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1573</v>
      </c>
      <c r="C551" s="10" t="s">
        <v>1574</v>
      </c>
      <c r="D551" s="13" t="s">
        <v>1575</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1576</v>
      </c>
      <c r="C552" s="10" t="s">
        <v>1577</v>
      </c>
      <c r="D552" s="13" t="s">
        <v>1578</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1579</v>
      </c>
      <c r="C553" s="10" t="s">
        <v>1580</v>
      </c>
      <c r="D553" s="13" t="s">
        <v>1581</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1582</v>
      </c>
      <c r="C554" s="10" t="s">
        <v>1583</v>
      </c>
      <c r="D554" s="13" t="s">
        <v>1584</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1585</v>
      </c>
      <c r="C555" s="10" t="s">
        <v>1586</v>
      </c>
      <c r="D555" s="13" t="s">
        <v>1587</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1588</v>
      </c>
      <c r="C556" s="10" t="s">
        <v>1589</v>
      </c>
      <c r="D556" s="13" t="s">
        <v>1590</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1591</v>
      </c>
      <c r="C557" s="10" t="s">
        <v>1592</v>
      </c>
      <c r="D557" s="13" t="s">
        <v>1593</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1594</v>
      </c>
      <c r="C558" s="10" t="s">
        <v>1595</v>
      </c>
      <c r="D558" s="13" t="s">
        <v>1596</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1597</v>
      </c>
      <c r="C559" s="10" t="s">
        <v>1598</v>
      </c>
      <c r="D559" s="13" t="s">
        <v>1599</v>
      </c>
      <c r="I559" s="16" t="str">
        <f t="shared" si="58"/>
        <v>  "error3038": "操作积分异常",</v>
      </c>
      <c r="J559" s="16" t="str">
        <f t="shared" si="59"/>
        <v>  "error3038": "operate points error",</v>
      </c>
      <c r="K559" s="16" t="str">
        <f t="shared" si="60"/>
        <v>  "error3038": "",</v>
      </c>
      <c r="L559" s="16" t="str">
        <f t="shared" si="61"/>
        <v>  "error3038": "",</v>
      </c>
      <c r="M559" s="16" t="str">
        <f t="shared" si="62"/>
        <v>  "error3038": "",</v>
      </c>
    </row>
    <row r="560" spans="1:13">
      <c r="A560" s="28">
        <f t="shared" si="63"/>
        <v>100558</v>
      </c>
      <c r="B560" s="7" t="s">
        <v>1600</v>
      </c>
      <c r="C560" s="10" t="s">
        <v>1601</v>
      </c>
      <c r="D560" s="13" t="s">
        <v>1602</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1603</v>
      </c>
      <c r="C561" s="10" t="s">
        <v>1604</v>
      </c>
      <c r="D561" s="13" t="s">
        <v>1605</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1606</v>
      </c>
      <c r="C562" s="10" t="s">
        <v>1607</v>
      </c>
      <c r="D562" s="13" t="s">
        <v>1608</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1609</v>
      </c>
      <c r="C563" s="10" t="s">
        <v>1610</v>
      </c>
      <c r="D563" s="13" t="s">
        <v>1611</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1612</v>
      </c>
      <c r="C564" s="10" t="s">
        <v>1613</v>
      </c>
      <c r="D564" s="13" t="s">
        <v>1614</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1615</v>
      </c>
      <c r="C565" s="10" t="s">
        <v>1592</v>
      </c>
      <c r="D565" s="13" t="s">
        <v>1616</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1617</v>
      </c>
      <c r="C566" s="10" t="s">
        <v>1479</v>
      </c>
      <c r="D566" s="13" t="s">
        <v>1618</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1619</v>
      </c>
      <c r="C567" s="10" t="s">
        <v>1620</v>
      </c>
      <c r="D567" s="13" t="s">
        <v>1621</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1622</v>
      </c>
      <c r="C568" s="10" t="s">
        <v>1623</v>
      </c>
      <c r="D568" s="13" t="s">
        <v>1624</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1625</v>
      </c>
      <c r="C569" s="10" t="s">
        <v>1626</v>
      </c>
      <c r="D569" s="13" t="s">
        <v>1627</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1628</v>
      </c>
      <c r="C570" s="10" t="s">
        <v>1629</v>
      </c>
      <c r="D570" s="13" t="s">
        <v>1630</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1631</v>
      </c>
      <c r="C571" s="10" t="s">
        <v>1632</v>
      </c>
      <c r="D571" s="13" t="s">
        <v>1633</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1634</v>
      </c>
      <c r="C572" s="10" t="s">
        <v>1635</v>
      </c>
      <c r="D572" s="13" t="s">
        <v>1636</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1637</v>
      </c>
      <c r="C573" s="10" t="s">
        <v>1638</v>
      </c>
      <c r="D573" s="13" t="s">
        <v>1639</v>
      </c>
      <c r="I573" s="16" t="str">
        <f t="shared" si="58"/>
        <v>  "error20013": "积分订单创建失败",</v>
      </c>
      <c r="J573" s="16" t="str">
        <f t="shared" si="59"/>
        <v>  "error20013": "Points order creation failed",</v>
      </c>
      <c r="K573" s="16" t="str">
        <f t="shared" si="60"/>
        <v>  "error20013": "",</v>
      </c>
      <c r="L573" s="16" t="str">
        <f t="shared" si="61"/>
        <v>  "error20013": "",</v>
      </c>
      <c r="M573" s="16" t="str">
        <f t="shared" si="62"/>
        <v>  "error20013": "",</v>
      </c>
    </row>
    <row r="574" ht="27.6" spans="1:13">
      <c r="A574" s="28">
        <f t="shared" si="63"/>
        <v>100572</v>
      </c>
      <c r="B574" s="7" t="s">
        <v>1640</v>
      </c>
      <c r="C574" s="10" t="s">
        <v>1641</v>
      </c>
      <c r="D574" s="13" t="s">
        <v>1642</v>
      </c>
      <c r="I574" s="16" t="str">
        <f t="shared" si="58"/>
        <v>  "error20014": "积分冻结/解冻失败",</v>
      </c>
      <c r="J574" s="16" t="str">
        <f t="shared" si="59"/>
        <v>  "error20014": "Failed to freeze/unfreeze points",</v>
      </c>
      <c r="K574" s="16" t="str">
        <f t="shared" si="60"/>
        <v>  "error20014": "",</v>
      </c>
      <c r="L574" s="16" t="str">
        <f t="shared" si="61"/>
        <v>  "error20014": "",</v>
      </c>
      <c r="M574" s="16" t="str">
        <f t="shared" si="62"/>
        <v>  "error20014": "",</v>
      </c>
    </row>
    <row r="575" spans="1:13">
      <c r="A575" s="28">
        <f t="shared" si="63"/>
        <v>100573</v>
      </c>
      <c r="B575" s="7" t="s">
        <v>1643</v>
      </c>
      <c r="C575" s="10" t="s">
        <v>1290</v>
      </c>
      <c r="D575" s="13" t="s">
        <v>1291</v>
      </c>
      <c r="I575" s="16" t="str">
        <f t="shared" si="58"/>
        <v>  "error20015": "积分不足",</v>
      </c>
      <c r="J575" s="16" t="str">
        <f t="shared" si="59"/>
        <v>  "error20015": "Insufficient points",</v>
      </c>
      <c r="K575" s="16" t="str">
        <f t="shared" si="60"/>
        <v>  "error20015": "",</v>
      </c>
      <c r="L575" s="16" t="str">
        <f t="shared" si="61"/>
        <v>  "error20015": "",</v>
      </c>
      <c r="M575" s="16" t="str">
        <f t="shared" si="62"/>
        <v>  "error20015": "",</v>
      </c>
    </row>
    <row r="576" spans="1:13">
      <c r="A576" s="28">
        <f t="shared" si="63"/>
        <v>100574</v>
      </c>
      <c r="B576" s="7" t="s">
        <v>1644</v>
      </c>
      <c r="C576" s="10" t="s">
        <v>1645</v>
      </c>
      <c r="D576" s="13" t="s">
        <v>1646</v>
      </c>
      <c r="I576" s="16" t="str">
        <f t="shared" si="58"/>
        <v>  "error20016": "积分不能为0",</v>
      </c>
      <c r="J576" s="16" t="str">
        <f t="shared" si="59"/>
        <v>  "error20016": "Points cannot be zero",</v>
      </c>
      <c r="K576" s="16" t="str">
        <f t="shared" si="60"/>
        <v>  "error20016": "",</v>
      </c>
      <c r="L576" s="16" t="str">
        <f t="shared" si="61"/>
        <v>  "error20016": "",</v>
      </c>
      <c r="M576" s="16" t="str">
        <f t="shared" si="62"/>
        <v>  "error20016": "",</v>
      </c>
    </row>
    <row r="577" spans="1:13">
      <c r="A577" s="28">
        <f t="shared" si="63"/>
        <v>100575</v>
      </c>
      <c r="B577" s="7" t="s">
        <v>1647</v>
      </c>
      <c r="C577" s="10" t="s">
        <v>1648</v>
      </c>
      <c r="D577" s="13" t="s">
        <v>1649</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1650</v>
      </c>
      <c r="C578" s="10" t="s">
        <v>1651</v>
      </c>
      <c r="D578" s="13" t="s">
        <v>1652</v>
      </c>
      <c r="I578" s="16" t="str">
        <f t="shared" si="58"/>
        <v>  "error20018": "兑换积分失败",</v>
      </c>
      <c r="J578" s="16" t="str">
        <f t="shared" si="59"/>
        <v>  "error20018": "Failed to exchange points",</v>
      </c>
      <c r="K578" s="16" t="str">
        <f t="shared" si="60"/>
        <v>  "error20018": "",</v>
      </c>
      <c r="L578" s="16" t="str">
        <f t="shared" si="61"/>
        <v>  "error20018": "",</v>
      </c>
      <c r="M578" s="16" t="str">
        <f t="shared" si="62"/>
        <v>  "error20018": "",</v>
      </c>
    </row>
    <row r="579" ht="27.6" spans="1:13">
      <c r="A579" s="28">
        <f t="shared" si="63"/>
        <v>100577</v>
      </c>
      <c r="B579" s="7" t="s">
        <v>1653</v>
      </c>
      <c r="C579" s="10" t="s">
        <v>1654</v>
      </c>
      <c r="D579" s="13" t="s">
        <v>1655</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1656</v>
      </c>
      <c r="C580" s="10" t="s">
        <v>1657</v>
      </c>
      <c r="D580" s="13" t="s">
        <v>1658</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1659</v>
      </c>
      <c r="C581" s="10" t="s">
        <v>1660</v>
      </c>
      <c r="D581" s="13" t="s">
        <v>1661</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1662</v>
      </c>
      <c r="C582" s="10" t="s">
        <v>1663</v>
      </c>
      <c r="D582" s="13" t="s">
        <v>1664</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1665</v>
      </c>
      <c r="C583" s="10" t="s">
        <v>1666</v>
      </c>
      <c r="D583" s="13" t="s">
        <v>1667</v>
      </c>
      <c r="I583" s="16" t="str">
        <f t="shared" si="58"/>
        <v>  "error20023": "解冻积分失败",</v>
      </c>
      <c r="J583" s="16" t="str">
        <f t="shared" si="59"/>
        <v>  "error20023": "Failed to unfreeze points",</v>
      </c>
      <c r="K583" s="16" t="str">
        <f t="shared" si="60"/>
        <v>  "error20023": "",</v>
      </c>
      <c r="L583" s="16" t="str">
        <f t="shared" si="61"/>
        <v>  "error20023": "",</v>
      </c>
      <c r="M583" s="16" t="str">
        <f t="shared" si="62"/>
        <v>  "error20023": "",</v>
      </c>
    </row>
    <row r="584" spans="1:13">
      <c r="A584" s="28">
        <f t="shared" si="63"/>
        <v>100582</v>
      </c>
      <c r="B584" s="7" t="s">
        <v>1668</v>
      </c>
      <c r="C584" s="10" t="s">
        <v>1669</v>
      </c>
      <c r="D584" s="13" t="s">
        <v>1670</v>
      </c>
      <c r="I584" s="16" t="str">
        <f t="shared" si="58"/>
        <v>  "error20024": "扣减积分失败",</v>
      </c>
      <c r="J584" s="16" t="str">
        <f t="shared" si="59"/>
        <v>  "error20024": "Failed to deduct points",</v>
      </c>
      <c r="K584" s="16" t="str">
        <f t="shared" si="60"/>
        <v>  "error20024": "",</v>
      </c>
      <c r="L584" s="16" t="str">
        <f t="shared" si="61"/>
        <v>  "error20024": "",</v>
      </c>
      <c r="M584" s="16" t="str">
        <f t="shared" si="62"/>
        <v>  "error20024": "",</v>
      </c>
    </row>
    <row r="585" spans="1:13">
      <c r="A585" s="28">
        <f t="shared" si="63"/>
        <v>100583</v>
      </c>
      <c r="B585" s="7" t="s">
        <v>1671</v>
      </c>
      <c r="C585" s="10" t="s">
        <v>1672</v>
      </c>
      <c r="D585" s="13" t="s">
        <v>1673</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1674</v>
      </c>
      <c r="C586" s="10" t="s">
        <v>1675</v>
      </c>
      <c r="D586" s="13" t="s">
        <v>1676</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1677</v>
      </c>
      <c r="C587" s="10" t="s">
        <v>1678</v>
      </c>
      <c r="D587" s="13" t="s">
        <v>1679</v>
      </c>
      <c r="I587" s="16" t="str">
        <f t="shared" si="58"/>
        <v>  "error20027": "购买积分失败",</v>
      </c>
      <c r="J587" s="16" t="str">
        <f t="shared" si="59"/>
        <v>  "error20027": "Failed to buy points",</v>
      </c>
      <c r="K587" s="16" t="str">
        <f t="shared" si="60"/>
        <v>  "error20027": "",</v>
      </c>
      <c r="L587" s="16" t="str">
        <f t="shared" si="61"/>
        <v>  "error20027": "",</v>
      </c>
      <c r="M587" s="16" t="str">
        <f t="shared" si="62"/>
        <v>  "error20027": "",</v>
      </c>
    </row>
    <row r="588" spans="1:13">
      <c r="A588" s="28">
        <f t="shared" si="63"/>
        <v>100586</v>
      </c>
      <c r="B588" s="7" t="s">
        <v>1680</v>
      </c>
      <c r="C588" s="10" t="s">
        <v>1681</v>
      </c>
      <c r="D588" s="13" t="s">
        <v>1682</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1683</v>
      </c>
      <c r="C589" s="10" t="s">
        <v>1684</v>
      </c>
      <c r="D589" s="13" t="s">
        <v>1685</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1686</v>
      </c>
      <c r="C590" s="10" t="s">
        <v>1687</v>
      </c>
      <c r="D590" s="13" t="s">
        <v>1688</v>
      </c>
      <c r="I590" s="16" t="str">
        <f t="shared" si="58"/>
        <v>  "error20030": "被解冻积分余额是0",</v>
      </c>
      <c r="J590" s="16" t="str">
        <f t="shared" si="59"/>
        <v>  "error20030": "Frozen points are zero",</v>
      </c>
      <c r="K590" s="16" t="str">
        <f t="shared" si="60"/>
        <v>  "error20030": "",</v>
      </c>
      <c r="L590" s="16" t="str">
        <f t="shared" si="61"/>
        <v>  "error20030": "",</v>
      </c>
      <c r="M590" s="16" t="str">
        <f t="shared" si="62"/>
        <v>  "error20030": "",</v>
      </c>
    </row>
    <row r="591" ht="27.6" spans="1:13">
      <c r="A591" s="28">
        <f t="shared" si="63"/>
        <v>100589</v>
      </c>
      <c r="B591" s="7" t="s">
        <v>1689</v>
      </c>
      <c r="C591" s="10" t="s">
        <v>1690</v>
      </c>
      <c r="D591" s="13" t="s">
        <v>1691</v>
      </c>
      <c r="I591" s="16" t="str">
        <f t="shared" si="58"/>
        <v>  "error20031": "from地址的积分为0",</v>
      </c>
      <c r="J591" s="16" t="str">
        <f t="shared" si="59"/>
        <v>  "error20031": "The from address points is zero",</v>
      </c>
      <c r="K591" s="16" t="str">
        <f t="shared" si="60"/>
        <v>  "error20031": "",</v>
      </c>
      <c r="L591" s="16" t="str">
        <f t="shared" si="61"/>
        <v>  "error20031": "",</v>
      </c>
      <c r="M591" s="16" t="str">
        <f t="shared" si="62"/>
        <v>  "error20031": "",</v>
      </c>
    </row>
    <row r="592" spans="1:13">
      <c r="A592" s="28">
        <f t="shared" si="63"/>
        <v>100590</v>
      </c>
      <c r="B592" s="7" t="s">
        <v>1692</v>
      </c>
      <c r="C592" s="10" t="s">
        <v>1693</v>
      </c>
      <c r="D592" s="13" t="s">
        <v>1694</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1695</v>
      </c>
      <c r="C593" s="10" t="s">
        <v>1678</v>
      </c>
      <c r="D593" s="13" t="s">
        <v>1679</v>
      </c>
      <c r="I593" s="16" t="str">
        <f t="shared" si="64"/>
        <v>  "error20033": "购买积分失败",</v>
      </c>
      <c r="J593" s="16" t="str">
        <f t="shared" si="65"/>
        <v>  "error20033": "Failed to buy points",</v>
      </c>
      <c r="K593" s="16" t="str">
        <f t="shared" si="66"/>
        <v>  "error20033": "",</v>
      </c>
      <c r="L593" s="16" t="str">
        <f t="shared" si="67"/>
        <v>  "error20033": "",</v>
      </c>
      <c r="M593" s="16" t="str">
        <f t="shared" si="68"/>
        <v>  "error20033": "",</v>
      </c>
    </row>
    <row r="594" spans="1:13">
      <c r="A594" s="28">
        <f t="shared" si="63"/>
        <v>100592</v>
      </c>
      <c r="B594" s="7" t="s">
        <v>1696</v>
      </c>
      <c r="C594" s="10" t="s">
        <v>1697</v>
      </c>
      <c r="D594" s="13" t="s">
        <v>1698</v>
      </c>
      <c r="I594" s="16" t="str">
        <f t="shared" si="64"/>
        <v>  "error20034": "积分余额不足",</v>
      </c>
      <c r="J594" s="16" t="str">
        <f t="shared" si="65"/>
        <v>  "error20034": "Not enough points balance",</v>
      </c>
      <c r="K594" s="16" t="str">
        <f t="shared" si="66"/>
        <v>  "error20034": "",</v>
      </c>
      <c r="L594" s="16" t="str">
        <f t="shared" si="67"/>
        <v>  "error20034": "",</v>
      </c>
      <c r="M594" s="16" t="str">
        <f t="shared" si="68"/>
        <v>  "error20034": "",</v>
      </c>
    </row>
    <row r="595" ht="27.6" spans="1:13">
      <c r="A595" s="28">
        <f t="shared" si="63"/>
        <v>100593</v>
      </c>
      <c r="B595" s="7" t="s">
        <v>1699</v>
      </c>
      <c r="C595" s="10" t="s">
        <v>1700</v>
      </c>
      <c r="D595" s="13" t="s">
        <v>1701</v>
      </c>
      <c r="I595" s="16" t="str">
        <f t="shared" si="64"/>
        <v>  "error20035": "无法获取USDC兑积分配置",</v>
      </c>
      <c r="J595" s="16" t="str">
        <f t="shared" si="65"/>
        <v>  "error20035": "Failed to acquire USDC to points configuration",</v>
      </c>
      <c r="K595" s="16" t="str">
        <f t="shared" si="66"/>
        <v>  "error20035": "",</v>
      </c>
      <c r="L595" s="16" t="str">
        <f t="shared" si="67"/>
        <v>  "error20035": "",</v>
      </c>
      <c r="M595" s="16" t="str">
        <f t="shared" si="68"/>
        <v>  "error20035": "",</v>
      </c>
    </row>
    <row r="596" ht="27.6" spans="1:13">
      <c r="A596" s="28">
        <f t="shared" si="63"/>
        <v>100594</v>
      </c>
      <c r="B596" s="7" t="s">
        <v>1702</v>
      </c>
      <c r="C596" s="10" t="s">
        <v>1703</v>
      </c>
      <c r="D596" s="13" t="s">
        <v>1704</v>
      </c>
      <c r="I596" s="16" t="str">
        <f t="shared" si="64"/>
        <v>  "error20036": "无法获取积分兑USDC配置",</v>
      </c>
      <c r="J596" s="16" t="str">
        <f t="shared" si="65"/>
        <v>  "error20036": "Failed to acquire points to USDC configuration",</v>
      </c>
      <c r="K596" s="16" t="str">
        <f t="shared" si="66"/>
        <v>  "error20036": "",</v>
      </c>
      <c r="L596" s="16" t="str">
        <f t="shared" si="67"/>
        <v>  "error20036": "",</v>
      </c>
      <c r="M596" s="16" t="str">
        <f t="shared" si="68"/>
        <v>  "error20036": "",</v>
      </c>
    </row>
    <row r="597" spans="1:13">
      <c r="A597" s="28">
        <f t="shared" si="63"/>
        <v>100595</v>
      </c>
      <c r="B597" s="7" t="s">
        <v>1705</v>
      </c>
      <c r="C597" s="10" t="s">
        <v>1706</v>
      </c>
      <c r="D597" s="13" t="s">
        <v>1707</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1708</v>
      </c>
      <c r="C598" s="10" t="s">
        <v>1709</v>
      </c>
      <c r="D598" s="13" t="s">
        <v>1710</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1711</v>
      </c>
      <c r="C599" s="10" t="s">
        <v>1712</v>
      </c>
      <c r="D599" s="13" t="s">
        <v>1713</v>
      </c>
      <c r="I599" s="16" t="str">
        <f t="shared" si="64"/>
        <v>  "error20039": "冻结的积分小于等于当前积分参数",</v>
      </c>
      <c r="J599" s="16" t="str">
        <f t="shared" si="65"/>
        <v>  "error20039": "The frozen points are less than the current points",</v>
      </c>
      <c r="K599" s="16" t="str">
        <f t="shared" si="66"/>
        <v>  "error20039": "",</v>
      </c>
      <c r="L599" s="16" t="str">
        <f t="shared" si="67"/>
        <v>  "error20039": "",</v>
      </c>
      <c r="M599" s="16" t="str">
        <f t="shared" si="68"/>
        <v>  "error20039": "",</v>
      </c>
    </row>
    <row r="600" spans="1:13">
      <c r="A600" s="28">
        <f t="shared" si="63"/>
        <v>100598</v>
      </c>
      <c r="B600" s="7" t="s">
        <v>1714</v>
      </c>
      <c r="C600" s="10" t="s">
        <v>1715</v>
      </c>
      <c r="D600" s="13" t="s">
        <v>1716</v>
      </c>
      <c r="I600" s="16" t="str">
        <f t="shared" si="64"/>
        <v>  "error20040": "积分订单不存在",</v>
      </c>
      <c r="J600" s="16" t="str">
        <f t="shared" si="65"/>
        <v>  "error20040": "Points order does not exist",</v>
      </c>
      <c r="K600" s="16" t="str">
        <f t="shared" si="66"/>
        <v>  "error20040": "",</v>
      </c>
      <c r="L600" s="16" t="str">
        <f t="shared" si="67"/>
        <v>  "error20040": "",</v>
      </c>
      <c r="M600" s="16" t="str">
        <f t="shared" si="68"/>
        <v>  "error20040": "",</v>
      </c>
    </row>
    <row r="601" spans="1:13">
      <c r="A601" s="28">
        <f t="shared" si="63"/>
        <v>100599</v>
      </c>
      <c r="B601" s="7" t="s">
        <v>1717</v>
      </c>
      <c r="C601" s="10" t="s">
        <v>1718</v>
      </c>
      <c r="D601" s="13" t="s">
        <v>1719</v>
      </c>
      <c r="I601" s="16" t="str">
        <f t="shared" si="64"/>
        <v>  "error20041": "审核积分失败",</v>
      </c>
      <c r="J601" s="16" t="str">
        <f t="shared" si="65"/>
        <v>  "error20041": "Review points failed",</v>
      </c>
      <c r="K601" s="16" t="str">
        <f t="shared" si="66"/>
        <v>  "error20041": "",</v>
      </c>
      <c r="L601" s="16" t="str">
        <f t="shared" si="67"/>
        <v>  "error20041": "",</v>
      </c>
      <c r="M601" s="16" t="str">
        <f t="shared" si="68"/>
        <v>  "error20041": "",</v>
      </c>
    </row>
    <row r="602" spans="1:13">
      <c r="A602" s="28">
        <f t="shared" si="63"/>
        <v>100600</v>
      </c>
      <c r="B602" s="7" t="s">
        <v>1720</v>
      </c>
      <c r="C602" s="10" t="s">
        <v>1721</v>
      </c>
      <c r="D602" s="13" t="s">
        <v>1722</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1723</v>
      </c>
      <c r="C603" s="10" t="s">
        <v>1724</v>
      </c>
      <c r="D603" s="13" t="s">
        <v>1725</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1726</v>
      </c>
      <c r="C604" s="10" t="s">
        <v>1727</v>
      </c>
      <c r="D604" s="13" t="s">
        <v>1728</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1729</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1730</v>
      </c>
      <c r="C606" s="10" t="s">
        <v>1731</v>
      </c>
      <c r="D606" s="13" t="s">
        <v>1732</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1733</v>
      </c>
      <c r="C607" s="10" t="s">
        <v>1734</v>
      </c>
      <c r="D607" s="13" t="s">
        <v>1735</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1736</v>
      </c>
      <c r="C608" s="10" t="s">
        <v>1737</v>
      </c>
      <c r="D608" s="13" t="s">
        <v>1738</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1739</v>
      </c>
      <c r="C609" s="10" t="s">
        <v>1740</v>
      </c>
      <c r="D609" s="13" t="s">
        <v>1741</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1742</v>
      </c>
      <c r="C610" s="10" t="s">
        <v>1743</v>
      </c>
      <c r="D610" s="13" t="s">
        <v>1744</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1745</v>
      </c>
      <c r="C611" s="10" t="s">
        <v>1746</v>
      </c>
      <c r="D611" s="13" t="s">
        <v>1747</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1748</v>
      </c>
      <c r="C612" s="10" t="s">
        <v>1749</v>
      </c>
      <c r="D612" s="13" t="s">
        <v>1750</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1751</v>
      </c>
      <c r="C613" s="10" t="s">
        <v>1752</v>
      </c>
      <c r="D613" s="13" t="s">
        <v>1753</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1754</v>
      </c>
      <c r="C614" s="10" t="s">
        <v>1755</v>
      </c>
      <c r="D614" s="13" t="s">
        <v>1756</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1757</v>
      </c>
      <c r="C615" s="10" t="s">
        <v>1758</v>
      </c>
      <c r="D615" s="13" t="s">
        <v>1759</v>
      </c>
      <c r="I615" s="16" t="str">
        <f t="shared" si="64"/>
        <v>  "textPointIncome": "积分收益",</v>
      </c>
      <c r="J615" s="16" t="str">
        <f t="shared" si="65"/>
        <v>  "textPointIncome": "Points income",</v>
      </c>
      <c r="K615" s="16" t="str">
        <f t="shared" si="66"/>
        <v>  "textPointIncome": "",</v>
      </c>
      <c r="L615" s="16" t="str">
        <f t="shared" si="67"/>
        <v>  "textPointIncome": "",</v>
      </c>
      <c r="M615" s="16" t="str">
        <f t="shared" si="68"/>
        <v>  "textPointIncome": "",</v>
      </c>
    </row>
    <row r="616" ht="29" customHeight="1" spans="1:13">
      <c r="A616" s="28">
        <f t="shared" si="63"/>
        <v>100614</v>
      </c>
      <c r="B616" s="7" t="s">
        <v>1760</v>
      </c>
      <c r="C616" s="10" t="s">
        <v>1761</v>
      </c>
      <c r="D616" s="13" t="s">
        <v>1762</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1763</v>
      </c>
      <c r="C617" s="10" t="s">
        <v>1764</v>
      </c>
      <c r="D617" s="13" t="s">
        <v>1765</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1766</v>
      </c>
      <c r="C618" s="10" t="s">
        <v>1767</v>
      </c>
      <c r="D618" s="13" t="s">
        <v>1768</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1769</v>
      </c>
      <c r="C619" s="10" t="s">
        <v>1770</v>
      </c>
      <c r="D619" s="13" t="s">
        <v>1771</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1772</v>
      </c>
      <c r="C620" s="10" t="s">
        <v>1773</v>
      </c>
      <c r="D620" s="13" t="s">
        <v>1774</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1775</v>
      </c>
      <c r="C621" s="10" t="s">
        <v>1776</v>
      </c>
      <c r="D621" s="13" t="s">
        <v>1777</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1778</v>
      </c>
      <c r="C622" s="10" t="s">
        <v>1779</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1780</v>
      </c>
      <c r="C623" s="10" t="s">
        <v>1781</v>
      </c>
      <c r="D623" s="13" t="s">
        <v>1782</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1783</v>
      </c>
      <c r="C624" s="10" t="s">
        <v>1784</v>
      </c>
      <c r="D624" s="13" t="s">
        <v>1785</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1786</v>
      </c>
      <c r="C625" s="5" t="s">
        <v>1787</v>
      </c>
      <c r="D625" s="13" t="s">
        <v>1788</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1789</v>
      </c>
      <c r="C626" s="10" t="s">
        <v>405</v>
      </c>
      <c r="D626" s="13" t="s">
        <v>1790</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1791</v>
      </c>
      <c r="C627" s="10" t="s">
        <v>1792</v>
      </c>
      <c r="D627" s="5" t="s">
        <v>1793</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1794</v>
      </c>
      <c r="C628" s="10" t="s">
        <v>1795</v>
      </c>
      <c r="D628" s="13" t="s">
        <v>1796</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1797</v>
      </c>
      <c r="C629" s="10" t="s">
        <v>1798</v>
      </c>
      <c r="D629" s="13" t="s">
        <v>1799</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1800</v>
      </c>
      <c r="C630" s="34" t="s">
        <v>1801</v>
      </c>
      <c r="D630" s="13" t="s">
        <v>1802</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1803</v>
      </c>
      <c r="C631" s="5" t="s">
        <v>1804</v>
      </c>
      <c r="D631" s="13" t="s">
        <v>1805</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1806</v>
      </c>
      <c r="C632" s="10" t="s">
        <v>1807</v>
      </c>
      <c r="D632" s="13" t="s">
        <v>1808</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1809</v>
      </c>
      <c r="C633" s="10" t="s">
        <v>1810</v>
      </c>
      <c r="D633" s="13" t="s">
        <v>1811</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1812</v>
      </c>
      <c r="C634" s="10" t="s">
        <v>1813</v>
      </c>
      <c r="D634" s="13" t="s">
        <v>1814</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1815</v>
      </c>
      <c r="C635" s="10" t="s">
        <v>1816</v>
      </c>
      <c r="D635" s="13" t="s">
        <v>1817</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1818</v>
      </c>
      <c r="C636" s="10" t="s">
        <v>1819</v>
      </c>
      <c r="D636" s="13" t="s">
        <v>1820</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1821</v>
      </c>
      <c r="C637" s="10" t="s">
        <v>1822</v>
      </c>
      <c r="D637" s="13" t="s">
        <v>1823</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1824</v>
      </c>
      <c r="C638" s="10" t="s">
        <v>1825</v>
      </c>
      <c r="D638" s="13" t="s">
        <v>1826</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1827</v>
      </c>
      <c r="C639" s="10" t="s">
        <v>1828</v>
      </c>
      <c r="D639" s="13" t="s">
        <v>1829</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1830</v>
      </c>
      <c r="C640" s="10" t="s">
        <v>1831</v>
      </c>
      <c r="D640" s="13" t="s">
        <v>1832</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1833</v>
      </c>
      <c r="C641" s="10" t="s">
        <v>1834</v>
      </c>
      <c r="D641" s="13" t="s">
        <v>1835</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1836</v>
      </c>
      <c r="C642" s="10" t="s">
        <v>919</v>
      </c>
      <c r="D642" s="13" t="s">
        <v>920</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1837</v>
      </c>
      <c r="C643" s="10" t="s">
        <v>1838</v>
      </c>
      <c r="D643" s="13" t="s">
        <v>1839</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1840</v>
      </c>
      <c r="C644" s="10" t="s">
        <v>1841</v>
      </c>
      <c r="D644" s="13" t="s">
        <v>1842</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1843</v>
      </c>
      <c r="C645" s="10" t="s">
        <v>1844</v>
      </c>
      <c r="D645" s="13" t="s">
        <v>1845</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1846</v>
      </c>
      <c r="C646" s="10" t="s">
        <v>1847</v>
      </c>
      <c r="D646" s="13" t="s">
        <v>1848</v>
      </c>
      <c r="I646" s="16" t="str">
        <f t="shared" si="70"/>
        <v>  "textNotificationLiked": "点赞：",</v>
      </c>
      <c r="J646" s="16" t="str">
        <f t="shared" si="71"/>
        <v>  "textNotificationLiked": "Liked:",</v>
      </c>
      <c r="K646" s="16" t="str">
        <f t="shared" si="72"/>
        <v>  "textNotificationLiked": "",</v>
      </c>
      <c r="L646" s="16" t="str">
        <f t="shared" si="73"/>
        <v>  "textNotificationLiked": "",</v>
      </c>
      <c r="M646" s="16" t="str">
        <f t="shared" si="74"/>
        <v>  "textNotificationLiked": "",</v>
      </c>
    </row>
    <row r="647" spans="1:13">
      <c r="A647" s="28">
        <f t="shared" si="69"/>
        <v>100645</v>
      </c>
      <c r="B647" s="7" t="s">
        <v>1849</v>
      </c>
      <c r="C647" s="10" t="s">
        <v>1850</v>
      </c>
      <c r="D647" s="13" t="s">
        <v>1851</v>
      </c>
      <c r="I647" s="16" t="str">
        <f t="shared" si="70"/>
        <v>  "textNotificationReplied": "回复：",</v>
      </c>
      <c r="J647" s="16" t="str">
        <f t="shared" si="71"/>
        <v>  "textNotificationReplied": "Replied:",</v>
      </c>
      <c r="K647" s="16" t="str">
        <f t="shared" si="72"/>
        <v>  "textNotificationReplied": "",</v>
      </c>
      <c r="L647" s="16" t="str">
        <f t="shared" si="73"/>
        <v>  "textNotificationReplied": "",</v>
      </c>
      <c r="M647" s="16" t="str">
        <f t="shared" si="74"/>
        <v>  "textNotificationReplied": "",</v>
      </c>
    </row>
    <row r="648" spans="1:13">
      <c r="A648" s="28">
        <f t="shared" si="69"/>
        <v>100646</v>
      </c>
      <c r="B648" s="7" t="s">
        <v>1852</v>
      </c>
      <c r="C648" s="10" t="s">
        <v>1853</v>
      </c>
      <c r="D648" s="5" t="s">
        <v>1854</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1855</v>
      </c>
      <c r="C649" s="10" t="s">
        <v>1856</v>
      </c>
      <c r="D649" s="5" t="s">
        <v>1857</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1858</v>
      </c>
      <c r="C650" s="10" t="s">
        <v>1859</v>
      </c>
      <c r="D650" s="5" t="s">
        <v>1860</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1861</v>
      </c>
      <c r="C651" s="10" t="s">
        <v>1862</v>
      </c>
      <c r="D651" s="5" t="s">
        <v>1863</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1864</v>
      </c>
      <c r="C652" s="10" t="s">
        <v>1865</v>
      </c>
      <c r="D652" s="5" t="s">
        <v>1866</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1867</v>
      </c>
      <c r="C653" s="10" t="s">
        <v>1868</v>
      </c>
      <c r="D653" s="5" t="s">
        <v>1869</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1870</v>
      </c>
      <c r="C654" s="10" t="s">
        <v>1871</v>
      </c>
      <c r="D654" s="5" t="s">
        <v>1872</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1873</v>
      </c>
      <c r="C655" s="10" t="s">
        <v>1874</v>
      </c>
      <c r="D655" s="5" t="s">
        <v>1875</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1876</v>
      </c>
      <c r="C656" s="10" t="s">
        <v>1877</v>
      </c>
      <c r="D656" s="5" t="s">
        <v>1878</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1879</v>
      </c>
      <c r="C657" s="10" t="s">
        <v>1880</v>
      </c>
      <c r="D657" s="5" t="s">
        <v>1881</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1882</v>
      </c>
      <c r="C658" s="10" t="s">
        <v>1883</v>
      </c>
      <c r="D658" s="5" t="s">
        <v>1884</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1885</v>
      </c>
      <c r="C659" s="10" t="s">
        <v>1886</v>
      </c>
      <c r="D659" s="5" t="s">
        <v>1887</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1888</v>
      </c>
      <c r="C660" s="10" t="s">
        <v>1889</v>
      </c>
      <c r="D660" s="5" t="s">
        <v>1890</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1891</v>
      </c>
      <c r="C661" s="10" t="s">
        <v>1892</v>
      </c>
      <c r="D661" s="5" t="s">
        <v>1893</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1894</v>
      </c>
      <c r="C662" s="10" t="s">
        <v>1895</v>
      </c>
      <c r="D662" s="5" t="s">
        <v>1896</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1897</v>
      </c>
      <c r="C663" s="10" t="s">
        <v>1898</v>
      </c>
      <c r="D663" s="5" t="s">
        <v>1899</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1900</v>
      </c>
      <c r="C664" s="10" t="s">
        <v>1901</v>
      </c>
      <c r="D664" s="5" t="s">
        <v>1902</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1903</v>
      </c>
      <c r="C665" s="10" t="s">
        <v>1904</v>
      </c>
      <c r="D665" s="5" t="s">
        <v>1905</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1906</v>
      </c>
      <c r="C666" s="10" t="s">
        <v>1907</v>
      </c>
      <c r="D666" s="5" t="s">
        <v>1908</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1909</v>
      </c>
      <c r="C667" s="10" t="s">
        <v>1910</v>
      </c>
      <c r="D667" s="5" t="s">
        <v>1911</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1912</v>
      </c>
      <c r="C668" s="10" t="s">
        <v>1913</v>
      </c>
      <c r="D668" s="5" t="s">
        <v>1914</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1915</v>
      </c>
      <c r="C669" s="10" t="s">
        <v>1916</v>
      </c>
      <c r="D669" s="5" t="s">
        <v>1917</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1918</v>
      </c>
      <c r="C670" s="10" t="s">
        <v>1919</v>
      </c>
      <c r="D670" s="5" t="s">
        <v>1920</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1921</v>
      </c>
      <c r="C671" s="10" t="s">
        <v>1922</v>
      </c>
      <c r="D671" s="5" t="s">
        <v>1923</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1924</v>
      </c>
      <c r="C672" s="10" t="s">
        <v>1925</v>
      </c>
      <c r="D672" s="5" t="s">
        <v>1926</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1927</v>
      </c>
      <c r="C673" s="10" t="s">
        <v>1928</v>
      </c>
      <c r="D673" s="5" t="s">
        <v>1929</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1930</v>
      </c>
      <c r="C674" s="10" t="s">
        <v>1931</v>
      </c>
      <c r="D674" s="5" t="s">
        <v>1932</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1933</v>
      </c>
      <c r="C675" s="10" t="s">
        <v>1934</v>
      </c>
      <c r="D675" s="5" t="s">
        <v>1935</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1936</v>
      </c>
      <c r="C676" s="10" t="s">
        <v>1937</v>
      </c>
      <c r="D676" s="5" t="s">
        <v>1938</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1939</v>
      </c>
      <c r="C677" s="10" t="s">
        <v>1940</v>
      </c>
      <c r="D677" s="5" t="s">
        <v>1941</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1942</v>
      </c>
      <c r="C678" s="10" t="s">
        <v>1943</v>
      </c>
      <c r="D678" s="5" t="s">
        <v>1944</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1945</v>
      </c>
      <c r="C679" s="10" t="s">
        <v>1946</v>
      </c>
      <c r="D679" s="5" t="s">
        <v>1947</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1948</v>
      </c>
      <c r="C680" s="5" t="s">
        <v>1949</v>
      </c>
      <c r="D680" s="13" t="s">
        <v>1950</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1951</v>
      </c>
      <c r="C681" s="10" t="s">
        <v>1952</v>
      </c>
      <c r="D681" s="5" t="s">
        <v>1953</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1954</v>
      </c>
      <c r="C682" s="10" t="s">
        <v>1955</v>
      </c>
      <c r="D682" s="5" t="s">
        <v>1956</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1957</v>
      </c>
      <c r="C683" s="10" t="s">
        <v>1958</v>
      </c>
      <c r="D683" s="5" t="s">
        <v>1959</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1960</v>
      </c>
      <c r="C684" s="5" t="s">
        <v>1961</v>
      </c>
      <c r="D684" s="13" t="s">
        <v>1962</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1963</v>
      </c>
      <c r="C685" s="10" t="s">
        <v>1964</v>
      </c>
      <c r="D685" s="13" t="s">
        <v>1965</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1966</v>
      </c>
      <c r="C686" s="10" t="s">
        <v>1967</v>
      </c>
      <c r="D686" s="13" t="s">
        <v>1968</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1969</v>
      </c>
      <c r="C687" s="10" t="s">
        <v>1970</v>
      </c>
      <c r="D687" s="13" t="s">
        <v>1971</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1972</v>
      </c>
      <c r="C688" s="10" t="s">
        <v>1090</v>
      </c>
      <c r="D688" s="13" t="s">
        <v>1973</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1974</v>
      </c>
      <c r="C689" s="10" t="s">
        <v>1975</v>
      </c>
      <c r="D689" s="13" t="s">
        <v>1976</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1977</v>
      </c>
      <c r="C690" s="10" t="s">
        <v>1978</v>
      </c>
      <c r="D690" s="13" t="s">
        <v>1979</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1980</v>
      </c>
      <c r="C691" s="10" t="s">
        <v>1981</v>
      </c>
      <c r="D691" s="13" t="s">
        <v>1982</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1983</v>
      </c>
      <c r="C692" s="10" t="s">
        <v>1984</v>
      </c>
      <c r="D692" s="13" t="s">
        <v>1985</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1986</v>
      </c>
      <c r="C693" s="10" t="s">
        <v>1987</v>
      </c>
      <c r="D693" s="13" t="s">
        <v>1988</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1989</v>
      </c>
      <c r="C694" s="10" t="s">
        <v>1990</v>
      </c>
      <c r="D694" s="13" t="s">
        <v>1991</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1992</v>
      </c>
      <c r="C695" s="10" t="s">
        <v>1993</v>
      </c>
      <c r="D695" s="13" t="s">
        <v>1994</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1995</v>
      </c>
      <c r="C696" s="10" t="s">
        <v>1996</v>
      </c>
      <c r="D696" s="13" t="s">
        <v>1997</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1998</v>
      </c>
      <c r="C697" s="10" t="s">
        <v>1999</v>
      </c>
      <c r="D697" s="13" t="s">
        <v>2000</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2001</v>
      </c>
      <c r="C698" s="10" t="s">
        <v>2002</v>
      </c>
      <c r="D698" s="13" t="s">
        <v>2003</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2004</v>
      </c>
      <c r="C699" s="10" t="s">
        <v>2005</v>
      </c>
      <c r="D699" s="10" t="s">
        <v>2006</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2007</v>
      </c>
      <c r="C700" s="10" t="s">
        <v>2008</v>
      </c>
      <c r="D700" s="10" t="s">
        <v>2009</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2010</v>
      </c>
      <c r="C701" s="10" t="s">
        <v>2011</v>
      </c>
      <c r="D701" s="10" t="s">
        <v>2012</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2013</v>
      </c>
      <c r="C702" s="10" t="s">
        <v>2014</v>
      </c>
      <c r="D702" s="10" t="s">
        <v>2015</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2016</v>
      </c>
      <c r="C703" s="10" t="s">
        <v>2017</v>
      </c>
      <c r="D703" s="10" t="s">
        <v>2018</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2019</v>
      </c>
      <c r="C704" s="10" t="s">
        <v>2020</v>
      </c>
      <c r="D704" s="10" t="s">
        <v>653</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2021</v>
      </c>
      <c r="C705" s="10" t="s">
        <v>2022</v>
      </c>
      <c r="D705" s="10" t="s">
        <v>2023</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2024</v>
      </c>
      <c r="C706" s="10" t="s">
        <v>2025</v>
      </c>
      <c r="D706" s="10" t="s">
        <v>2026</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2027</v>
      </c>
      <c r="C707" s="10" t="s">
        <v>2028</v>
      </c>
      <c r="D707" s="10" t="s">
        <v>2029</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2030</v>
      </c>
      <c r="C708" s="10" t="s">
        <v>2031</v>
      </c>
      <c r="D708" s="10" t="s">
        <v>2032</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2033</v>
      </c>
      <c r="C709" s="10" t="s">
        <v>2034</v>
      </c>
      <c r="D709" s="10" t="s">
        <v>2035</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2036</v>
      </c>
      <c r="C710" s="10" t="s">
        <v>2037</v>
      </c>
      <c r="D710" s="13" t="s">
        <v>2038</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2039</v>
      </c>
      <c r="C711" s="10" t="s">
        <v>2040</v>
      </c>
      <c r="D711" s="13" t="s">
        <v>2041</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2042</v>
      </c>
      <c r="C712" s="10" t="s">
        <v>2043</v>
      </c>
      <c r="D712" s="13" t="s">
        <v>2044</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2045</v>
      </c>
      <c r="C713" s="10" t="s">
        <v>2046</v>
      </c>
      <c r="D713" s="13" t="s">
        <v>2047</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2048</v>
      </c>
      <c r="C714" s="10" t="s">
        <v>2049</v>
      </c>
      <c r="D714" s="13" t="s">
        <v>2050</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2051</v>
      </c>
      <c r="C715" s="10" t="s">
        <v>2052</v>
      </c>
      <c r="D715" s="13" t="s">
        <v>2053</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2054</v>
      </c>
      <c r="C716" s="10" t="s">
        <v>2055</v>
      </c>
      <c r="D716" s="13" t="s">
        <v>2056</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2057</v>
      </c>
      <c r="C717" s="10" t="s">
        <v>2058</v>
      </c>
      <c r="D717" s="13" t="s">
        <v>2059</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2060</v>
      </c>
      <c r="C718" s="10" t="s">
        <v>2061</v>
      </c>
      <c r="D718" s="13" t="s">
        <v>2062</v>
      </c>
      <c r="I718" s="16" t="str">
        <f t="shared" ref="I718:I760" si="92">"  """&amp;$B718&amp;""": """&amp;C718&amp;""""&amp;IF(COUNTA($B719)=1,",","")</f>
        <v>  "textBoxGetPointDescription": "{value1}% 获得 8 积分",</v>
      </c>
      <c r="J718" s="16" t="str">
        <f t="shared" ref="J718:J760" si="93">"  """&amp;$B718&amp;""": """&amp;D718&amp;""""&amp;IF(COUNTA($B719)=1,",","")</f>
        <v>  "textBoxGetPointDescription": "{value1}% get 8 points",</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2063</v>
      </c>
      <c r="C719" s="10" t="s">
        <v>2064</v>
      </c>
      <c r="D719" s="13" t="s">
        <v>2065</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2066</v>
      </c>
      <c r="C720" s="10" t="s">
        <v>2067</v>
      </c>
      <c r="D720" s="5" t="s">
        <v>2068</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2069</v>
      </c>
      <c r="C721" s="10" t="s">
        <v>2070</v>
      </c>
      <c r="D721" s="13" t="s">
        <v>2071</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2072</v>
      </c>
      <c r="C722" s="10" t="s">
        <v>2073</v>
      </c>
      <c r="D722" s="13" t="s">
        <v>2074</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2075</v>
      </c>
      <c r="C723" s="10" t="s">
        <v>2022</v>
      </c>
      <c r="D723" s="10" t="s">
        <v>2023</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2076</v>
      </c>
      <c r="C724" s="10" t="s">
        <v>2025</v>
      </c>
      <c r="D724" s="10" t="s">
        <v>2026</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2077</v>
      </c>
      <c r="C725" s="10" t="s">
        <v>2078</v>
      </c>
      <c r="D725" s="10" t="s">
        <v>2079</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2080</v>
      </c>
      <c r="C726" s="10" t="s">
        <v>2081</v>
      </c>
      <c r="D726" s="10" t="s">
        <v>2082</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2083</v>
      </c>
      <c r="C727" s="10" t="s">
        <v>2084</v>
      </c>
      <c r="D727" s="10" t="s">
        <v>2085</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2086</v>
      </c>
      <c r="C728" s="10" t="s">
        <v>2087</v>
      </c>
      <c r="D728" s="10" t="s">
        <v>2088</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2089</v>
      </c>
      <c r="C729" s="10" t="s">
        <v>2090</v>
      </c>
      <c r="D729" s="10" t="s">
        <v>2091</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2092</v>
      </c>
      <c r="C730" s="10" t="s">
        <v>2093</v>
      </c>
      <c r="D730" s="10" t="s">
        <v>2094</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2095</v>
      </c>
      <c r="C731" s="10" t="s">
        <v>2096</v>
      </c>
      <c r="D731" s="10" t="s">
        <v>2097</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2098</v>
      </c>
      <c r="C732" s="10" t="s">
        <v>2099</v>
      </c>
      <c r="D732" s="10" t="s">
        <v>2100</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2101</v>
      </c>
      <c r="C733" s="10" t="s">
        <v>2102</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2103</v>
      </c>
      <c r="C734" s="10" t="s">
        <v>2104</v>
      </c>
      <c r="D734" s="10" t="s">
        <v>2105</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62.2" spans="1:13">
      <c r="A735" s="28">
        <f t="shared" si="97"/>
        <v>100733</v>
      </c>
      <c r="B735" s="7" t="s">
        <v>2106</v>
      </c>
      <c r="C735" s="10" t="s">
        <v>2107</v>
      </c>
      <c r="D735" s="13" t="s">
        <v>2108</v>
      </c>
      <c r="I735" s="16"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2109</v>
      </c>
      <c r="C736" s="10" t="s">
        <v>2110</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2111</v>
      </c>
      <c r="C737" s="10" t="s">
        <v>1970</v>
      </c>
      <c r="D737" s="10" t="s">
        <v>1971</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2112</v>
      </c>
      <c r="C738" s="10" t="s">
        <v>1841</v>
      </c>
      <c r="D738" s="13" t="s">
        <v>1842</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2113</v>
      </c>
      <c r="C739" s="10" t="s">
        <v>2114</v>
      </c>
      <c r="D739" s="13" t="s">
        <v>2115</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2116</v>
      </c>
      <c r="C740" s="10" t="s">
        <v>2117</v>
      </c>
      <c r="D740" s="13" t="s">
        <v>2118</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2119</v>
      </c>
      <c r="C741" s="10" t="s">
        <v>2120</v>
      </c>
      <c r="D741" s="13" t="s">
        <v>2121</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2122</v>
      </c>
      <c r="C742" s="10" t="s">
        <v>2123</v>
      </c>
      <c r="D742" s="13" t="s">
        <v>2124</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2125</v>
      </c>
      <c r="C743" s="10" t="s">
        <v>2126</v>
      </c>
      <c r="D743" s="13" t="s">
        <v>2127</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2128</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2129</v>
      </c>
      <c r="C745" s="10" t="s">
        <v>2130</v>
      </c>
      <c r="D745" s="13" t="s">
        <v>2131</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2132</v>
      </c>
      <c r="C746" s="10" t="s">
        <v>2133</v>
      </c>
      <c r="D746" s="13" t="s">
        <v>2134</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2135</v>
      </c>
      <c r="C747" s="10" t="s">
        <v>2136</v>
      </c>
      <c r="D747" s="13" t="s">
        <v>2137</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2138</v>
      </c>
      <c r="C748" s="10" t="s">
        <v>2139</v>
      </c>
      <c r="D748" s="13" t="s">
        <v>2140</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2141</v>
      </c>
      <c r="C749" s="10" t="s">
        <v>2142</v>
      </c>
      <c r="D749" s="13" t="s">
        <v>2143</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2144</v>
      </c>
      <c r="C750" s="10" t="s">
        <v>2145</v>
      </c>
      <c r="D750" s="13" t="s">
        <v>2146</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2147</v>
      </c>
      <c r="C751" s="10" t="s">
        <v>2148</v>
      </c>
      <c r="D751" s="13" t="s">
        <v>2149</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2150</v>
      </c>
      <c r="C752" s="10" t="s">
        <v>2151</v>
      </c>
      <c r="D752" s="13" t="s">
        <v>2152</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2153</v>
      </c>
      <c r="C753" s="10" t="s">
        <v>2154</v>
      </c>
      <c r="D753" s="13" t="s">
        <v>2154</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2155</v>
      </c>
      <c r="C754" s="10" t="s">
        <v>2156</v>
      </c>
      <c r="D754" s="13" t="s">
        <v>2157</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2158</v>
      </c>
      <c r="C755" s="10" t="s">
        <v>2159</v>
      </c>
      <c r="D755" s="13" t="s">
        <v>2160</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2161</v>
      </c>
      <c r="C756" s="10" t="s">
        <v>2162</v>
      </c>
      <c r="D756" s="13" t="s">
        <v>2163</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2164</v>
      </c>
      <c r="C757" s="10" t="s">
        <v>2165</v>
      </c>
      <c r="D757" s="13" t="s">
        <v>2166</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2167</v>
      </c>
      <c r="C758" s="10" t="s">
        <v>2168</v>
      </c>
      <c r="D758" s="10" t="s">
        <v>2169</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2170</v>
      </c>
      <c r="C759" s="10" t="s">
        <v>2171</v>
      </c>
      <c r="D759" s="13" t="s">
        <v>2172</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2173</v>
      </c>
      <c r="C760" s="10" t="s">
        <v>292</v>
      </c>
      <c r="D760" s="13" t="s">
        <v>2174</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2175</v>
      </c>
      <c r="C761" s="10" t="s">
        <v>776</v>
      </c>
      <c r="D761" s="13" t="s">
        <v>2176</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2177</v>
      </c>
      <c r="C762" s="10" t="s">
        <v>2178</v>
      </c>
      <c r="D762" s="5" t="s">
        <v>2179</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69" spans="1:13">
      <c r="A763" s="28">
        <f t="shared" ref="A763:A768" si="103">IF(COUNTA(B763)=1,100000+ROW(B763)-2,"")</f>
        <v>100761</v>
      </c>
      <c r="B763" s="7" t="s">
        <v>2180</v>
      </c>
      <c r="C763" s="10" t="s">
        <v>2181</v>
      </c>
      <c r="D763" s="13" t="s">
        <v>2182</v>
      </c>
      <c r="I763" s="16" t="str">
        <f t="shared" si="98"/>
        <v>  "textParticipationPrizeCouponRules": "奖券生效时，瓜分答题参与奖池可以获得更高比例的积分。",</v>
      </c>
      <c r="J763" s="16" t="str">
        <f t="shared" si="99"/>
        <v>  "textParticipationPrizeCouponRules": "With the coupon in effect, you can get a higher proportion of points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55.2" spans="1:13">
      <c r="A764" s="28">
        <f t="shared" si="103"/>
        <v>100762</v>
      </c>
      <c r="B764" s="7" t="s">
        <v>2183</v>
      </c>
      <c r="C764" s="10" t="s">
        <v>2184</v>
      </c>
      <c r="D764" s="13" t="s">
        <v>2185</v>
      </c>
      <c r="I764" s="16" t="str">
        <f t="shared" si="98"/>
        <v>  "textWinPrizeCouponRules": "奖券生效时，瓜分答题获胜奖池可以获得更高比例的积分。",</v>
      </c>
      <c r="J764" s="16" t="str">
        <f t="shared" si="99"/>
        <v>  "textWinPrizeCouponRules": "With the coupon in effect, divide the winning prize pool to get a higher proportion of points.",</v>
      </c>
      <c r="K764" s="16" t="str">
        <f t="shared" si="100"/>
        <v>  "textWinPrizeCouponRules": "",</v>
      </c>
      <c r="L764" s="16" t="str">
        <f t="shared" si="101"/>
        <v>  "textWinPrizeCouponRules": "",</v>
      </c>
      <c r="M764" s="16" t="str">
        <f t="shared" si="102"/>
        <v>  "textWinPrizeCouponRules": "",</v>
      </c>
    </row>
    <row r="765" ht="55.2" spans="1:13">
      <c r="A765" s="28">
        <f t="shared" si="103"/>
        <v>100763</v>
      </c>
      <c r="B765" s="7" t="s">
        <v>2186</v>
      </c>
      <c r="C765" s="10" t="s">
        <v>2187</v>
      </c>
      <c r="D765" s="13" t="s">
        <v>2188</v>
      </c>
      <c r="I765" s="16" t="str">
        <f t="shared" si="98"/>
        <v>  "textLikePrizeCouponRules": "奖券生效时，瓜分点赞奖池可以获得更高比例的积分。",</v>
      </c>
      <c r="J765" s="16" t="str">
        <f t="shared" si="99"/>
        <v>  "textLikePrizeCouponRules": "With the coupon in effect, divide the like prize pool to get a higher proportion of points.",</v>
      </c>
      <c r="K765" s="16" t="str">
        <f t="shared" si="100"/>
        <v>  "textLikePrizeCouponRules": "",</v>
      </c>
      <c r="L765" s="16" t="str">
        <f t="shared" si="101"/>
        <v>  "textLikePrizeCouponRules": "",</v>
      </c>
      <c r="M765" s="16" t="str">
        <f t="shared" si="102"/>
        <v>  "textLikePrizeCouponRules": "",</v>
      </c>
    </row>
    <row r="766" ht="55.2" spans="1:13">
      <c r="A766" s="28">
        <f t="shared" si="103"/>
        <v>100764</v>
      </c>
      <c r="B766" s="7" t="s">
        <v>2189</v>
      </c>
      <c r="C766" s="10" t="s">
        <v>2190</v>
      </c>
      <c r="D766" s="13" t="s">
        <v>2191</v>
      </c>
      <c r="I766" s="16" t="str">
        <f t="shared" si="98"/>
        <v>  "textInvestmentPrizeCouponRules": "奖券生效时，瓜分投资奖池可以获得更高比例的积分。",</v>
      </c>
      <c r="J766" s="16" t="str">
        <f t="shared" si="99"/>
        <v>  "textInvestmentPrizeCouponRules": "With the coupon in effect, divide the investment prize pool to get a higher proportion of points.",</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2192</v>
      </c>
      <c r="C767" s="10" t="s">
        <v>2193</v>
      </c>
      <c r="D767" s="13" t="s">
        <v>2194</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2195</v>
      </c>
      <c r="C768" s="10" t="s">
        <v>2196</v>
      </c>
      <c r="D768" s="13" t="s">
        <v>2197</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2198</v>
      </c>
      <c r="C769" s="10" t="s">
        <v>2199</v>
      </c>
      <c r="D769" s="13" t="s">
        <v>1932</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2200</v>
      </c>
      <c r="C770" s="10" t="s">
        <v>2201</v>
      </c>
      <c r="D770" s="13" t="s">
        <v>2202</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2203</v>
      </c>
      <c r="C771" s="10" t="s">
        <v>2204</v>
      </c>
      <c r="D771" s="13" t="s">
        <v>2205</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2206</v>
      </c>
      <c r="C772" s="10" t="s">
        <v>2207</v>
      </c>
      <c r="D772" s="10" t="s">
        <v>2208</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2209</v>
      </c>
      <c r="C773" s="10" t="s">
        <v>2210</v>
      </c>
      <c r="D773" s="13" t="s">
        <v>2211</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2212</v>
      </c>
      <c r="C774" s="10" t="s">
        <v>2213</v>
      </c>
      <c r="D774" s="10" t="s">
        <v>2214</v>
      </c>
      <c r="E774" s="35"/>
      <c r="I774" s="16" t="str">
        <f t="shared" si="104"/>
        <v>  "textRebatePoint": "返佣(积分)",</v>
      </c>
      <c r="J774" s="16" t="str">
        <f t="shared" si="105"/>
        <v>  "textRebatePoint": "Rebate (Point)",</v>
      </c>
      <c r="K774" s="16" t="str">
        <f t="shared" si="106"/>
        <v>  "textRebatePoint": "",</v>
      </c>
      <c r="L774" s="16" t="str">
        <f t="shared" si="107"/>
        <v>  "textRebatePoint": "",</v>
      </c>
      <c r="M774" s="16" t="str">
        <f t="shared" si="108"/>
        <v>  "textRebatePoint": "",</v>
      </c>
    </row>
    <row r="775" spans="1:13">
      <c r="A775" s="28">
        <f t="shared" si="109"/>
        <v>100773</v>
      </c>
      <c r="B775" s="7" t="s">
        <v>2215</v>
      </c>
      <c r="C775" s="10" t="s">
        <v>2216</v>
      </c>
      <c r="D775" s="13" t="s">
        <v>2217</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2218</v>
      </c>
      <c r="C776" s="10" t="s">
        <v>2219</v>
      </c>
      <c r="D776" s="13" t="s">
        <v>2220</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2221</v>
      </c>
      <c r="C777" s="10" t="s">
        <v>2222</v>
      </c>
      <c r="D777" s="13" t="s">
        <v>2223</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2224</v>
      </c>
      <c r="C778" s="10" t="s">
        <v>2225</v>
      </c>
      <c r="D778" s="13" t="s">
        <v>2226</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2227</v>
      </c>
      <c r="C779" s="10" t="s">
        <v>2228</v>
      </c>
      <c r="D779" s="13" t="s">
        <v>2229</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2230</v>
      </c>
      <c r="C780" s="10" t="s">
        <v>2231</v>
      </c>
      <c r="D780" s="13" t="s">
        <v>2232</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2233</v>
      </c>
      <c r="C781" s="10" t="s">
        <v>2234</v>
      </c>
      <c r="D781" s="13" t="s">
        <v>2235</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2236</v>
      </c>
      <c r="C782" s="10" t="s">
        <v>2237</v>
      </c>
      <c r="D782" s="13" t="s">
        <v>2238</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2239</v>
      </c>
      <c r="C783" s="10" t="s">
        <v>2240</v>
      </c>
      <c r="D783" s="13" t="s">
        <v>2241</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2242</v>
      </c>
      <c r="C784" s="10" t="s">
        <v>2243</v>
      </c>
      <c r="D784" s="13" t="s">
        <v>2244</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2245</v>
      </c>
      <c r="C785" s="10" t="s">
        <v>1411</v>
      </c>
      <c r="D785" s="13" t="s">
        <v>2246</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2247</v>
      </c>
      <c r="C786" s="10" t="s">
        <v>1366</v>
      </c>
      <c r="D786" s="13" t="s">
        <v>2248</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2249</v>
      </c>
      <c r="C787" s="10" t="s">
        <v>1366</v>
      </c>
      <c r="D787" s="13" t="s">
        <v>2248</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2250</v>
      </c>
      <c r="C788" s="10" t="s">
        <v>1366</v>
      </c>
      <c r="D788" s="13" t="s">
        <v>2248</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2251</v>
      </c>
      <c r="C789" s="10" t="s">
        <v>2252</v>
      </c>
      <c r="D789" s="13" t="s">
        <v>2253</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2254</v>
      </c>
      <c r="C790" s="10" t="s">
        <v>2255</v>
      </c>
      <c r="D790" s="13" t="s">
        <v>2256</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2257</v>
      </c>
      <c r="C791" s="10" t="s">
        <v>2258</v>
      </c>
      <c r="D791" s="13" t="s">
        <v>2259</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2260</v>
      </c>
      <c r="C792" s="10" t="s">
        <v>2261</v>
      </c>
      <c r="D792" s="13" t="s">
        <v>2262</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2263</v>
      </c>
      <c r="C793" s="10" t="s">
        <v>2264</v>
      </c>
      <c r="D793" s="13" t="s">
        <v>2265</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2266</v>
      </c>
      <c r="C794" s="10" t="s">
        <v>2237</v>
      </c>
      <c r="D794" s="13" t="s">
        <v>2238</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2267</v>
      </c>
      <c r="C795" s="10" t="s">
        <v>2268</v>
      </c>
      <c r="D795" s="13" t="s">
        <v>2269</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2270</v>
      </c>
      <c r="C796" s="10" t="s">
        <v>2271</v>
      </c>
      <c r="D796" s="13" t="s">
        <v>2272</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2273</v>
      </c>
      <c r="C797" s="10" t="s">
        <v>2274</v>
      </c>
      <c r="D797" s="13" t="s">
        <v>2275</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2276</v>
      </c>
      <c r="C798" s="10" t="s">
        <v>2277</v>
      </c>
      <c r="D798" s="13" t="s">
        <v>2278</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2279</v>
      </c>
      <c r="C799" s="10" t="s">
        <v>2280</v>
      </c>
      <c r="D799" s="13" t="s">
        <v>2281</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2282</v>
      </c>
      <c r="C800" s="10" t="s">
        <v>2283</v>
      </c>
      <c r="D800" s="13" t="s">
        <v>2284</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2285</v>
      </c>
      <c r="C801" s="10" t="s">
        <v>2286</v>
      </c>
      <c r="D801" s="13" t="s">
        <v>2287</v>
      </c>
      <c r="I801" s="16" t="str">
        <f t="shared" si="116"/>
        <v>  "textMysteryReferralRulesText2": "1. 低级盲盒可以开出【参与答题奖励加成券】【答题获胜奖励加成券】【点赞奖励加成券】【投资奖励加成券】。\n 2. 高级盲盒可以开出来积分，并有可能开出NFT笔。",</v>
      </c>
      <c r="J801" s="16" t="str">
        <f t="shared" si="117"/>
        <v>  "textMysteryReferralRulesText2": "1. The basic mystery box can issue [Participation Prize Coupon] [Majority Prize Coupon] [Likes Prize Coupon] [Investment Prize Coupon]. \n 2. Point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2288</v>
      </c>
      <c r="C802" s="10" t="s">
        <v>2289</v>
      </c>
      <c r="D802" s="13" t="s">
        <v>2290</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2291</v>
      </c>
      <c r="C803" s="10" t="s">
        <v>2292</v>
      </c>
      <c r="D803" s="13" t="s">
        <v>2293</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2294</v>
      </c>
      <c r="C804" s="10" t="s">
        <v>2295</v>
      </c>
      <c r="D804" s="13" t="s">
        <v>2296</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2297</v>
      </c>
      <c r="C805" s="10" t="s">
        <v>2298</v>
      </c>
      <c r="D805" s="13" t="s">
        <v>2299</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2300</v>
      </c>
      <c r="C806" s="36" t="s">
        <v>2301</v>
      </c>
      <c r="D806" s="13" t="s">
        <v>2302</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2303</v>
      </c>
      <c r="C807" s="36" t="s">
        <v>2304</v>
      </c>
      <c r="D807" s="13" t="s">
        <v>2305</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2306</v>
      </c>
      <c r="C808" s="10" t="s">
        <v>2307</v>
      </c>
      <c r="D808" s="13" t="s">
        <v>2308</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2309</v>
      </c>
      <c r="C809" s="10" t="s">
        <v>2310</v>
      </c>
      <c r="D809" s="36" t="s">
        <v>2311</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31" si="132">IF(COUNTA(B810)=1,100000+ROW(B810)-2,"")</f>
        <v>100808</v>
      </c>
      <c r="B810" s="7" t="s">
        <v>2312</v>
      </c>
      <c r="C810" s="10" t="s">
        <v>2313</v>
      </c>
      <c r="D810" s="13" t="s">
        <v>2314</v>
      </c>
      <c r="I810" s="16" t="str">
        <f t="shared" si="127"/>
        <v>  "textPointInvestment": "积分投资",</v>
      </c>
      <c r="J810" s="16" t="str">
        <f t="shared" si="128"/>
        <v>  "textPointInvestment": "Point investment",</v>
      </c>
      <c r="K810" s="16" t="str">
        <f t="shared" si="129"/>
        <v>  "textPointInvestment": "",</v>
      </c>
      <c r="L810" s="16" t="str">
        <f t="shared" si="130"/>
        <v>  "textPointInvestment": "",</v>
      </c>
      <c r="M810" s="16" t="str">
        <f t="shared" si="131"/>
        <v>  "textPointInvestment": "",</v>
      </c>
    </row>
    <row r="811" spans="1:13">
      <c r="A811" s="28">
        <f t="shared" si="132"/>
        <v>100809</v>
      </c>
      <c r="B811" s="7" t="s">
        <v>2315</v>
      </c>
      <c r="C811" s="10" t="s">
        <v>2316</v>
      </c>
      <c r="D811" s="13" t="s">
        <v>2317</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2318</v>
      </c>
      <c r="C812" s="10" t="s">
        <v>2319</v>
      </c>
      <c r="D812" s="13" t="s">
        <v>2320</v>
      </c>
      <c r="I812" s="16" t="str">
        <f t="shared" si="127"/>
        <v>  "textInvestedPoint": "已投资{value1}积分",</v>
      </c>
      <c r="J812" s="16" t="str">
        <f t="shared" si="128"/>
        <v>  "textInvestedPoint": "Invested {value1} point",</v>
      </c>
      <c r="K812" s="16" t="str">
        <f t="shared" si="129"/>
        <v>  "textInvestedPoint": "",</v>
      </c>
      <c r="L812" s="16" t="str">
        <f t="shared" si="130"/>
        <v>  "textInvestedPoint": "",</v>
      </c>
      <c r="M812" s="16" t="str">
        <f t="shared" si="131"/>
        <v>  "textInvestedPoint": "",</v>
      </c>
    </row>
    <row r="813" ht="27.6" spans="1:13">
      <c r="A813" s="28">
        <f t="shared" si="132"/>
        <v>100811</v>
      </c>
      <c r="B813" s="7" t="s">
        <v>2321</v>
      </c>
      <c r="C813" s="10" t="s">
        <v>2322</v>
      </c>
      <c r="D813" s="13" t="s">
        <v>2323</v>
      </c>
      <c r="I813" s="16" t="str">
        <f t="shared" si="127"/>
        <v>  "textInvestedPointValue": "已投资{value1}积分价值",</v>
      </c>
      <c r="J813" s="16" t="str">
        <f t="shared" si="128"/>
        <v>  "textInvestedPointValue": "Invested {value1} point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2324</v>
      </c>
      <c r="C814" s="10" t="s">
        <v>2325</v>
      </c>
      <c r="D814" s="13" t="s">
        <v>2326</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2327</v>
      </c>
      <c r="C815" s="10" t="s">
        <v>2328</v>
      </c>
      <c r="D815" s="13" t="s">
        <v>2329</v>
      </c>
      <c r="I815" s="16" t="str">
        <f t="shared" si="127"/>
        <v>  "textInvestableNFTValue": "使用NFT可投资的积分价值",</v>
      </c>
      <c r="J815" s="16" t="str">
        <f t="shared" si="128"/>
        <v>  "textInvestableNFTValue": "Investable point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2330</v>
      </c>
      <c r="C816" s="10" t="s">
        <v>2331</v>
      </c>
      <c r="D816" s="13" t="s">
        <v>2332</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2333</v>
      </c>
      <c r="C817" s="10" t="s">
        <v>2334</v>
      </c>
      <c r="D817" s="13" t="s">
        <v>2335</v>
      </c>
      <c r="I817" s="16"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2336</v>
      </c>
      <c r="C818" s="10" t="s">
        <v>2337</v>
      </c>
      <c r="D818" s="13" t="s">
        <v>2338</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2339</v>
      </c>
      <c r="C819" s="10" t="s">
        <v>2340</v>
      </c>
      <c r="D819" s="13" t="s">
        <v>2341</v>
      </c>
      <c r="I819" s="16" t="str">
        <f t="shared" si="127"/>
        <v>  "textPrivateProgressDescription2": "私有问题分数 = 答题花费积分 + 理由花费积分 + 点赞花费积分 + 投资积分 + NFT投资分值",</v>
      </c>
      <c r="J819" s="16" t="str">
        <f t="shared" si="128"/>
        <v>  "textPrivateProgressDescription2": "Private question score = Points spent on answering + Points spent on reasons + Points spent on likes + Points invested + NFT investment Points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2342</v>
      </c>
      <c r="C820" s="10" t="s">
        <v>2343</v>
      </c>
      <c r="D820" s="13" t="s">
        <v>2344</v>
      </c>
      <c r="I820" s="16" t="str">
        <f t="shared" si="127"/>
        <v>  "textPrivateProgressDescription3": "答题、理由、点赞每花费1积分，该问题分数增加1；每投资1分，该问题分数增加1；每1个NFT投资，该问题分数增加{value1}",</v>
      </c>
      <c r="J820" s="16"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2345</v>
      </c>
      <c r="C821" s="10" t="s">
        <v>2346</v>
      </c>
      <c r="D821" s="13" t="s">
        <v>2347</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2348</v>
      </c>
      <c r="C822" s="10" t="s">
        <v>2349</v>
      </c>
      <c r="D822" s="13" t="s">
        <v>2350</v>
      </c>
      <c r="I822" s="16" t="str">
        <f t="shared" ref="I822:I831" si="133">"  """&amp;$B822&amp;""": """&amp;C822&amp;""""&amp;IF(COUNTA($B823)=1,",","")</f>
        <v>  "textQueuingProgress": "排队进度",</v>
      </c>
      <c r="J822" s="16" t="str">
        <f t="shared" ref="J822:J831" si="134">"  """&amp;$B822&amp;""": """&amp;D822&amp;""""&amp;IF(COUNTA($B823)=1,",","")</f>
        <v>  "textQueuingProgress": "Queuing progress",</v>
      </c>
      <c r="K822" s="16" t="str">
        <f t="shared" ref="K822:K831" si="135">"  """&amp;$B822&amp;""": """&amp;E822&amp;""""&amp;IF(COUNTA($B823)=1,",","")</f>
        <v>  "textQueuingProgress": "",</v>
      </c>
      <c r="L822" s="16" t="str">
        <f t="shared" ref="L822:L831" si="136">"  """&amp;$B822&amp;""": """&amp;F822&amp;""""&amp;IF(COUNTA($B823)=1,",","")</f>
        <v>  "textQueuingProgress": "",</v>
      </c>
      <c r="M822" s="16" t="str">
        <f t="shared" ref="M822:M831" si="137">"  """&amp;$B822&amp;""": """&amp;G822&amp;""""&amp;IF(COUNTA($B823)=1,",","")</f>
        <v>  "textQueuingProgress": "",</v>
      </c>
    </row>
    <row r="823" spans="1:13">
      <c r="A823" s="28">
        <f t="shared" si="132"/>
        <v>100821</v>
      </c>
      <c r="B823" s="7" t="s">
        <v>2351</v>
      </c>
      <c r="C823" s="10" t="s">
        <v>2352</v>
      </c>
      <c r="D823" s="13" t="s">
        <v>2353</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2354</v>
      </c>
      <c r="C824" s="10" t="s">
        <v>2355</v>
      </c>
      <c r="D824" s="13" t="s">
        <v>2355</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2356</v>
      </c>
      <c r="C825" s="10" t="s">
        <v>2357</v>
      </c>
      <c r="D825" s="5" t="s">
        <v>2358</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2359</v>
      </c>
      <c r="C826" s="10" t="s">
        <v>2360</v>
      </c>
      <c r="D826" s="13" t="s">
        <v>2361</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 t="shared" si="132"/>
        <v>100825</v>
      </c>
      <c r="B827" s="7" t="s">
        <v>2362</v>
      </c>
      <c r="C827" s="10" t="s">
        <v>2363</v>
      </c>
      <c r="D827" s="10" t="s">
        <v>2364</v>
      </c>
      <c r="I827" s="16" t="str">
        <f t="shared" si="133"/>
        <v>  "textGetNFTMintChance": "请确保您拥有足够的ETH。铸造的机会将为您保留24小时，您稍后可以在你的盲盒页面进行铸造。",</v>
      </c>
      <c r="J827" s="16" t="str">
        <f t="shared" si="134"/>
        <v>  "textGetNFTMintChance": "Please make sure you have enough ETH. The chance to mint will be reserved for you for 24 hours, you can mint later on your mystery box page.",</v>
      </c>
      <c r="K827" s="16" t="str">
        <f t="shared" si="135"/>
        <v>  "textGetNFTMintChance": "",</v>
      </c>
      <c r="L827" s="16" t="str">
        <f t="shared" si="136"/>
        <v>  "textGetNFTMintChance": "",</v>
      </c>
      <c r="M827" s="16" t="str">
        <f t="shared" si="137"/>
        <v>  "textGetNFTMintChance": "",</v>
      </c>
    </row>
    <row r="828" spans="1:13">
      <c r="A828" s="28">
        <f t="shared" si="132"/>
        <v>100826</v>
      </c>
      <c r="B828" s="7" t="s">
        <v>2365</v>
      </c>
      <c r="C828" s="10" t="s">
        <v>2366</v>
      </c>
      <c r="D828" s="13" t="s">
        <v>2367</v>
      </c>
      <c r="I828" s="16" t="str">
        <f t="shared" si="133"/>
        <v>  "textHotSearch": "热门搜索",</v>
      </c>
      <c r="J828" s="16" t="str">
        <f t="shared" si="134"/>
        <v>  "textHotSearch": "Trending",</v>
      </c>
      <c r="K828" s="16" t="str">
        <f t="shared" si="135"/>
        <v>  "textHotSearch": "",</v>
      </c>
      <c r="L828" s="16" t="str">
        <f t="shared" si="136"/>
        <v>  "textHotSearch": "",</v>
      </c>
      <c r="M828" s="16" t="str">
        <f t="shared" si="137"/>
        <v>  "textHotSearch": "",</v>
      </c>
    </row>
    <row r="829" spans="1:13">
      <c r="A829" s="28">
        <f t="shared" si="132"/>
        <v>100827</v>
      </c>
      <c r="B829" s="7" t="s">
        <v>2368</v>
      </c>
      <c r="C829" s="10" t="s">
        <v>2369</v>
      </c>
      <c r="D829" s="13" t="s">
        <v>2370</v>
      </c>
      <c r="I829" s="16" t="str">
        <f t="shared" si="133"/>
        <v>  "textLanguage": "语言",</v>
      </c>
      <c r="J829" s="16" t="str">
        <f t="shared" si="134"/>
        <v>  "textLanguage": "Language",</v>
      </c>
      <c r="K829" s="16" t="str">
        <f t="shared" si="135"/>
        <v>  "textLanguage": "",</v>
      </c>
      <c r="L829" s="16" t="str">
        <f t="shared" si="136"/>
        <v>  "textLanguage": "",</v>
      </c>
      <c r="M829" s="16" t="str">
        <f t="shared" si="137"/>
        <v>  "textLanguage": "",</v>
      </c>
    </row>
    <row r="830" spans="1:13">
      <c r="A830" s="28">
        <f t="shared" si="132"/>
        <v>100828</v>
      </c>
      <c r="B830" s="7" t="s">
        <v>2371</v>
      </c>
      <c r="C830" s="10" t="s">
        <v>2372</v>
      </c>
      <c r="D830" s="13" t="s">
        <v>2373</v>
      </c>
      <c r="I830" s="16" t="str">
        <f t="shared" si="133"/>
        <v>  "textNoListed": "未上榜",</v>
      </c>
      <c r="J830" s="16" t="str">
        <f t="shared" si="134"/>
        <v>  "textNoListed": "Not listed",</v>
      </c>
      <c r="K830" s="16" t="str">
        <f t="shared" si="135"/>
        <v>  "textNoListed": "",</v>
      </c>
      <c r="L830" s="16" t="str">
        <f t="shared" si="136"/>
        <v>  "textNoListed": "",</v>
      </c>
      <c r="M830" s="16" t="str">
        <f t="shared" si="137"/>
        <v>  "textNoListed": "",</v>
      </c>
    </row>
    <row r="831" spans="1:13">
      <c r="A831" s="28">
        <f t="shared" si="132"/>
        <v>100829</v>
      </c>
      <c r="B831" s="7" t="s">
        <v>2374</v>
      </c>
      <c r="C831" s="10" t="s">
        <v>2375</v>
      </c>
      <c r="D831" s="13" t="s">
        <v>2376</v>
      </c>
      <c r="I831" s="16" t="str">
        <f t="shared" ref="I831:I851" si="138">"  """&amp;$B831&amp;""": """&amp;C831&amp;""""&amp;IF(COUNTA($B832)=1,",","")</f>
        <v>  "btnAccept": "接受",</v>
      </c>
      <c r="J831" s="16" t="str">
        <f t="shared" ref="J831:J851" si="139">"  """&amp;$B831&amp;""": """&amp;D831&amp;""""&amp;IF(COUNTA($B832)=1,",","")</f>
        <v>  "btnAccept": "Accept",</v>
      </c>
      <c r="K831" s="16" t="str">
        <f t="shared" ref="K831:K851" si="140">"  """&amp;$B831&amp;""": """&amp;E831&amp;""""&amp;IF(COUNTA($B832)=1,",","")</f>
        <v>  "btnAccept": "",</v>
      </c>
      <c r="L831" s="16" t="str">
        <f t="shared" ref="L831:L851" si="141">"  """&amp;$B831&amp;""": """&amp;F831&amp;""""&amp;IF(COUNTA($B832)=1,",","")</f>
        <v>  "btnAccept": "",</v>
      </c>
      <c r="M831" s="16" t="str">
        <f t="shared" ref="M831:M851" si="142">"  """&amp;$B831&amp;""": """&amp;G831&amp;""""&amp;IF(COUNTA($B832)=1,",","")</f>
        <v>  "btnAccept": "",</v>
      </c>
    </row>
    <row r="832" spans="1:13">
      <c r="A832" s="28">
        <f t="shared" ref="A832:A851" si="143">IF(COUNTA(B832)=1,100000+ROW(B832)-2,"")</f>
        <v>100830</v>
      </c>
      <c r="B832" s="7" t="s">
        <v>2377</v>
      </c>
      <c r="C832" s="10" t="s">
        <v>943</v>
      </c>
      <c r="D832" s="13" t="s">
        <v>2378</v>
      </c>
      <c r="I832" s="16" t="str">
        <f t="shared" si="138"/>
        <v>  "pointType300": "创建问题",</v>
      </c>
      <c r="J832" s="16" t="str">
        <f t="shared" si="139"/>
        <v>  "pointType300": "Question",</v>
      </c>
      <c r="K832" s="16" t="str">
        <f t="shared" si="140"/>
        <v>  "pointType300": "",</v>
      </c>
      <c r="L832" s="16" t="str">
        <f t="shared" si="141"/>
        <v>  "pointType300": "",</v>
      </c>
      <c r="M832" s="16" t="str">
        <f t="shared" si="142"/>
        <v>  "pointType300": "",</v>
      </c>
    </row>
    <row r="833" spans="1:13">
      <c r="A833" s="28">
        <f t="shared" si="143"/>
        <v>100831</v>
      </c>
      <c r="B833" s="7" t="s">
        <v>2379</v>
      </c>
      <c r="C833" s="10" t="s">
        <v>115</v>
      </c>
      <c r="D833" s="13" t="s">
        <v>1167</v>
      </c>
      <c r="I833" s="16" t="str">
        <f t="shared" si="138"/>
        <v>  "pointType301": "注入积分",</v>
      </c>
      <c r="J833" s="16" t="str">
        <f t="shared" si="139"/>
        <v>  "pointType301": "Inject Points",</v>
      </c>
      <c r="K833" s="16" t="str">
        <f t="shared" si="140"/>
        <v>  "pointType301": "",</v>
      </c>
      <c r="L833" s="16" t="str">
        <f t="shared" si="141"/>
        <v>  "pointType301": "",</v>
      </c>
      <c r="M833" s="16" t="str">
        <f t="shared" si="142"/>
        <v>  "pointType301": "",</v>
      </c>
    </row>
    <row r="834" spans="1:13">
      <c r="A834" s="28">
        <f t="shared" si="143"/>
        <v>100832</v>
      </c>
      <c r="B834" s="7" t="s">
        <v>2380</v>
      </c>
      <c r="C834" s="10" t="s">
        <v>24</v>
      </c>
      <c r="D834" s="13" t="s">
        <v>25</v>
      </c>
      <c r="I834" s="16" t="str">
        <f t="shared" si="138"/>
        <v>  "pointType302": "回答",</v>
      </c>
      <c r="J834" s="16" t="str">
        <f t="shared" si="139"/>
        <v>  "pointType302": "Answer",</v>
      </c>
      <c r="K834" s="16" t="str">
        <f t="shared" si="140"/>
        <v>  "pointType302": "",</v>
      </c>
      <c r="L834" s="16" t="str">
        <f t="shared" si="141"/>
        <v>  "pointType302": "",</v>
      </c>
      <c r="M834" s="16" t="str">
        <f t="shared" si="142"/>
        <v>  "pointType302": "",</v>
      </c>
    </row>
    <row r="835" spans="1:13">
      <c r="A835" s="28">
        <f t="shared" si="143"/>
        <v>100833</v>
      </c>
      <c r="B835" s="7" t="s">
        <v>2381</v>
      </c>
      <c r="C835" s="10" t="s">
        <v>295</v>
      </c>
      <c r="D835" s="13" t="s">
        <v>2382</v>
      </c>
      <c r="I835" s="16" t="str">
        <f t="shared" si="138"/>
        <v>  "pointType303": "理由",</v>
      </c>
      <c r="J835" s="16" t="str">
        <f t="shared" si="139"/>
        <v>  "pointType303": "Reason",</v>
      </c>
      <c r="K835" s="16" t="str">
        <f t="shared" si="140"/>
        <v>  "pointType303": "",</v>
      </c>
      <c r="L835" s="16" t="str">
        <f t="shared" si="141"/>
        <v>  "pointType303": "",</v>
      </c>
      <c r="M835" s="16" t="str">
        <f t="shared" si="142"/>
        <v>  "pointType303": "",</v>
      </c>
    </row>
    <row r="836" spans="1:13">
      <c r="A836" s="28">
        <f t="shared" si="143"/>
        <v>100834</v>
      </c>
      <c r="B836" s="7" t="s">
        <v>2383</v>
      </c>
      <c r="C836" s="10" t="s">
        <v>192</v>
      </c>
      <c r="D836" s="13" t="s">
        <v>193</v>
      </c>
      <c r="I836" s="16" t="str">
        <f t="shared" si="138"/>
        <v>  "pointType304": "回复",</v>
      </c>
      <c r="J836" s="16" t="str">
        <f t="shared" si="139"/>
        <v>  "pointType304": "Reply",</v>
      </c>
      <c r="K836" s="16" t="str">
        <f t="shared" si="140"/>
        <v>  "pointType304": "",</v>
      </c>
      <c r="L836" s="16" t="str">
        <f t="shared" si="141"/>
        <v>  "pointType304": "",</v>
      </c>
      <c r="M836" s="16" t="str">
        <f t="shared" si="142"/>
        <v>  "pointType304": "",</v>
      </c>
    </row>
    <row r="837" spans="1:13">
      <c r="A837" s="28">
        <f t="shared" si="143"/>
        <v>100835</v>
      </c>
      <c r="B837" s="7" t="s">
        <v>2384</v>
      </c>
      <c r="C837" s="10" t="s">
        <v>132</v>
      </c>
      <c r="D837" s="13" t="s">
        <v>550</v>
      </c>
      <c r="I837" s="16" t="str">
        <f t="shared" si="138"/>
        <v>  "pointType305": "点赞",</v>
      </c>
      <c r="J837" s="16" t="str">
        <f t="shared" si="139"/>
        <v>  "pointType305": "Like",</v>
      </c>
      <c r="K837" s="16" t="str">
        <f t="shared" si="140"/>
        <v>  "pointType305": "",</v>
      </c>
      <c r="L837" s="16" t="str">
        <f t="shared" si="141"/>
        <v>  "pointType305": "",</v>
      </c>
      <c r="M837" s="16" t="str">
        <f t="shared" si="142"/>
        <v>  "pointType305": "",</v>
      </c>
    </row>
    <row r="838" spans="1:13">
      <c r="A838" s="28">
        <f t="shared" si="143"/>
        <v>100836</v>
      </c>
      <c r="B838" s="7" t="s">
        <v>2385</v>
      </c>
      <c r="C838" s="10" t="s">
        <v>121</v>
      </c>
      <c r="D838" s="13" t="s">
        <v>531</v>
      </c>
      <c r="I838" s="16" t="str">
        <f t="shared" si="138"/>
        <v>  "pointType306": "投资",</v>
      </c>
      <c r="J838" s="16" t="str">
        <f t="shared" si="139"/>
        <v>  "pointType306": "Investment",</v>
      </c>
      <c r="K838" s="16" t="str">
        <f t="shared" si="140"/>
        <v>  "pointType306": "",</v>
      </c>
      <c r="L838" s="16" t="str">
        <f t="shared" si="141"/>
        <v>  "pointType306": "",</v>
      </c>
      <c r="M838" s="16" t="str">
        <f t="shared" si="142"/>
        <v>  "pointType306": "",</v>
      </c>
    </row>
    <row r="839" spans="1:13">
      <c r="A839" s="28">
        <f t="shared" si="143"/>
        <v>100837</v>
      </c>
      <c r="B839" s="7" t="s">
        <v>2386</v>
      </c>
      <c r="C839" s="10" t="s">
        <v>2387</v>
      </c>
      <c r="D839" s="13" t="s">
        <v>2388</v>
      </c>
      <c r="I839" s="16" t="str">
        <f t="shared" si="138"/>
        <v>  "pointType400": "投资积分返还",</v>
      </c>
      <c r="J839" s="16" t="str">
        <f t="shared" si="139"/>
        <v>  "pointType400": "Refunded Investment",</v>
      </c>
      <c r="K839" s="16" t="str">
        <f t="shared" si="140"/>
        <v>  "pointType400": "",</v>
      </c>
      <c r="L839" s="16" t="str">
        <f t="shared" si="141"/>
        <v>  "pointType400": "",</v>
      </c>
      <c r="M839" s="16" t="str">
        <f t="shared" si="142"/>
        <v>  "pointType400": "",</v>
      </c>
    </row>
    <row r="840" spans="1:13">
      <c r="A840" s="28">
        <f t="shared" si="143"/>
        <v>100838</v>
      </c>
      <c r="B840" s="7" t="s">
        <v>2389</v>
      </c>
      <c r="C840" s="10" t="s">
        <v>2390</v>
      </c>
      <c r="D840" s="13" t="s">
        <v>1176</v>
      </c>
      <c r="I840" s="16" t="str">
        <f t="shared" si="138"/>
        <v>  "pointType401": "参与奖励",</v>
      </c>
      <c r="J840" s="16" t="str">
        <f t="shared" si="139"/>
        <v>  "pointType401": "Participation Prize",</v>
      </c>
      <c r="K840" s="16" t="str">
        <f t="shared" si="140"/>
        <v>  "pointType401": "",</v>
      </c>
      <c r="L840" s="16" t="str">
        <f t="shared" si="141"/>
        <v>  "pointType401": "",</v>
      </c>
      <c r="M840" s="16" t="str">
        <f t="shared" si="142"/>
        <v>  "pointType401": "",</v>
      </c>
    </row>
    <row r="841" spans="1:13">
      <c r="A841" s="28">
        <f t="shared" si="143"/>
        <v>100839</v>
      </c>
      <c r="B841" s="7" t="s">
        <v>2391</v>
      </c>
      <c r="C841" s="10" t="s">
        <v>824</v>
      </c>
      <c r="D841" s="13" t="s">
        <v>1179</v>
      </c>
      <c r="I841" s="16" t="str">
        <f t="shared" si="138"/>
        <v>  "pointType402": "获胜奖励",</v>
      </c>
      <c r="J841" s="16" t="str">
        <f t="shared" si="139"/>
        <v>  "pointType402": "Majority Prize",</v>
      </c>
      <c r="K841" s="16" t="str">
        <f t="shared" si="140"/>
        <v>  "pointType402": "",</v>
      </c>
      <c r="L841" s="16" t="str">
        <f t="shared" si="141"/>
        <v>  "pointType402": "",</v>
      </c>
      <c r="M841" s="16" t="str">
        <f t="shared" si="142"/>
        <v>  "pointType402": "",</v>
      </c>
    </row>
    <row r="842" spans="1:13">
      <c r="A842" s="28">
        <f t="shared" si="143"/>
        <v>100840</v>
      </c>
      <c r="B842" s="7" t="s">
        <v>2392</v>
      </c>
      <c r="C842" s="10" t="s">
        <v>2393</v>
      </c>
      <c r="D842" s="13" t="s">
        <v>1181</v>
      </c>
      <c r="I842" s="16" t="str">
        <f t="shared" si="138"/>
        <v>  "pointType403": "点赞收益",</v>
      </c>
      <c r="J842" s="16" t="str">
        <f t="shared" si="139"/>
        <v>  "pointType403": "Likes Prize",</v>
      </c>
      <c r="K842" s="16" t="str">
        <f t="shared" si="140"/>
        <v>  "pointType403": "",</v>
      </c>
      <c r="L842" s="16" t="str">
        <f t="shared" si="141"/>
        <v>  "pointType403": "",</v>
      </c>
      <c r="M842" s="16" t="str">
        <f t="shared" si="142"/>
        <v>  "pointType403": "",</v>
      </c>
    </row>
    <row r="843" spans="1:13">
      <c r="A843" s="28">
        <f t="shared" si="143"/>
        <v>100841</v>
      </c>
      <c r="B843" s="7" t="s">
        <v>2394</v>
      </c>
      <c r="C843" s="10" t="s">
        <v>2395</v>
      </c>
      <c r="D843" s="13" t="s">
        <v>1183</v>
      </c>
      <c r="I843" s="16" t="str">
        <f t="shared" si="138"/>
        <v>  "pointType404": "投资收益",</v>
      </c>
      <c r="J843" s="16" t="str">
        <f t="shared" si="139"/>
        <v>  "pointType404": "Investment Prize",</v>
      </c>
      <c r="K843" s="16" t="str">
        <f t="shared" si="140"/>
        <v>  "pointType404": "",</v>
      </c>
      <c r="L843" s="16" t="str">
        <f t="shared" si="141"/>
        <v>  "pointType404": "",</v>
      </c>
      <c r="M843" s="16" t="str">
        <f t="shared" si="142"/>
        <v>  "pointType404": "",</v>
      </c>
    </row>
    <row r="844" spans="1:13">
      <c r="A844" s="28">
        <f t="shared" si="143"/>
        <v>100842</v>
      </c>
      <c r="B844" s="7" t="s">
        <v>2396</v>
      </c>
      <c r="C844" s="10" t="s">
        <v>1185</v>
      </c>
      <c r="D844" s="13" t="s">
        <v>2397</v>
      </c>
      <c r="I844" s="16" t="str">
        <f t="shared" si="138"/>
        <v>  "pointType405": "平台抽成",</v>
      </c>
      <c r="J844" s="16" t="str">
        <f t="shared" si="139"/>
        <v>  "pointType405": "Platform Fee",</v>
      </c>
      <c r="K844" s="16" t="str">
        <f t="shared" si="140"/>
        <v>  "pointType405": "",</v>
      </c>
      <c r="L844" s="16" t="str">
        <f t="shared" si="141"/>
        <v>  "pointType405": "",</v>
      </c>
      <c r="M844" s="16" t="str">
        <f t="shared" si="142"/>
        <v>  "pointType405": "",</v>
      </c>
    </row>
    <row r="845" spans="1:13">
      <c r="A845" s="28">
        <f t="shared" si="143"/>
        <v>100843</v>
      </c>
      <c r="B845" s="7" t="s">
        <v>2398</v>
      </c>
      <c r="C845" s="10" t="s">
        <v>1188</v>
      </c>
      <c r="D845" s="13" t="s">
        <v>2397</v>
      </c>
      <c r="I845" s="16" t="str">
        <f t="shared" si="138"/>
        <v>  "pointType406": "投资抽成",</v>
      </c>
      <c r="J845" s="16" t="str">
        <f t="shared" si="139"/>
        <v>  "pointType406": "Platform Fee",</v>
      </c>
      <c r="K845" s="16" t="str">
        <f t="shared" si="140"/>
        <v>  "pointType406": "",</v>
      </c>
      <c r="L845" s="16" t="str">
        <f t="shared" si="141"/>
        <v>  "pointType406": "",</v>
      </c>
      <c r="M845" s="16" t="str">
        <f t="shared" si="142"/>
        <v>  "pointType406": "",</v>
      </c>
    </row>
    <row r="846" spans="1:13">
      <c r="A846" s="28">
        <f t="shared" si="143"/>
        <v>100844</v>
      </c>
      <c r="B846" s="7" t="s">
        <v>2399</v>
      </c>
      <c r="C846" s="10" t="s">
        <v>2400</v>
      </c>
      <c r="D846" s="13" t="s">
        <v>2401</v>
      </c>
      <c r="I846" s="16" t="str">
        <f t="shared" si="138"/>
        <v>  "pointType407": "理由收益",</v>
      </c>
      <c r="J846" s="16" t="str">
        <f t="shared" si="139"/>
        <v>  "pointType407": "Reason Prize",</v>
      </c>
      <c r="K846" s="16" t="str">
        <f t="shared" si="140"/>
        <v>  "pointType407": "",</v>
      </c>
      <c r="L846" s="16" t="str">
        <f t="shared" si="141"/>
        <v>  "pointType407": "",</v>
      </c>
      <c r="M846" s="16" t="str">
        <f t="shared" si="142"/>
        <v>  "pointType407": "",</v>
      </c>
    </row>
    <row r="847" spans="1:13">
      <c r="A847" s="28">
        <f t="shared" si="143"/>
        <v>100845</v>
      </c>
      <c r="B847" s="7" t="s">
        <v>2402</v>
      </c>
      <c r="C847" s="10" t="s">
        <v>364</v>
      </c>
      <c r="D847" s="13" t="s">
        <v>2403</v>
      </c>
      <c r="I847" s="16" t="str">
        <f t="shared" si="138"/>
        <v>  "pointType100": "购买积分",</v>
      </c>
      <c r="J847" s="16" t="str">
        <f t="shared" si="139"/>
        <v>  "pointType100": "Buy Points",</v>
      </c>
      <c r="K847" s="16" t="str">
        <f t="shared" si="140"/>
        <v>  "pointType100": "",</v>
      </c>
      <c r="L847" s="16" t="str">
        <f t="shared" si="141"/>
        <v>  "pointType100": "",</v>
      </c>
      <c r="M847" s="16" t="str">
        <f t="shared" si="142"/>
        <v>  "pointType100": "",</v>
      </c>
    </row>
    <row r="848" spans="1:13">
      <c r="A848" s="28">
        <f t="shared" si="143"/>
        <v>100846</v>
      </c>
      <c r="B848" s="7" t="s">
        <v>2404</v>
      </c>
      <c r="C848" s="10" t="s">
        <v>2405</v>
      </c>
      <c r="D848" s="13" t="s">
        <v>660</v>
      </c>
      <c r="I848" s="16" t="str">
        <f t="shared" si="138"/>
        <v>  "pointType200": "兑换积分",</v>
      </c>
      <c r="J848" s="16" t="str">
        <f t="shared" si="139"/>
        <v>  "pointType200": "Withdraw points",</v>
      </c>
      <c r="K848" s="16" t="str">
        <f t="shared" si="140"/>
        <v>  "pointType200": "",</v>
      </c>
      <c r="L848" s="16" t="str">
        <f t="shared" si="141"/>
        <v>  "pointType200": "",</v>
      </c>
      <c r="M848" s="16" t="str">
        <f t="shared" si="142"/>
        <v>  "pointType200": "",</v>
      </c>
    </row>
    <row r="849" spans="1:13">
      <c r="A849" s="28">
        <f t="shared" si="143"/>
        <v>100847</v>
      </c>
      <c r="B849" s="7" t="s">
        <v>2406</v>
      </c>
      <c r="C849" s="10" t="s">
        <v>2407</v>
      </c>
      <c r="D849" s="13" t="s">
        <v>2079</v>
      </c>
      <c r="I849" s="16" t="str">
        <f t="shared" si="138"/>
        <v>  "pointType201": "盲盒返佣积分",</v>
      </c>
      <c r="J849" s="16" t="str">
        <f t="shared" si="139"/>
        <v>  "pointType201": "Mystery Box Referral",</v>
      </c>
      <c r="K849" s="16" t="str">
        <f t="shared" si="140"/>
        <v>  "pointType201": "",</v>
      </c>
      <c r="L849" s="16" t="str">
        <f t="shared" si="141"/>
        <v>  "pointType201": "",</v>
      </c>
      <c r="M849" s="16" t="str">
        <f t="shared" si="142"/>
        <v>  "pointType201": "",</v>
      </c>
    </row>
    <row r="850" spans="1:13">
      <c r="A850" s="28">
        <f t="shared" si="143"/>
        <v>100848</v>
      </c>
      <c r="B850" s="7" t="s">
        <v>2408</v>
      </c>
      <c r="C850" s="10" t="s">
        <v>2409</v>
      </c>
      <c r="D850" s="13" t="s">
        <v>2082</v>
      </c>
      <c r="I850" s="16" t="str">
        <f t="shared" si="138"/>
        <v>  "pointType202": "返佣积分",</v>
      </c>
      <c r="J850" s="16" t="str">
        <f t="shared" si="139"/>
        <v>  "pointType202": "Standard Referral",</v>
      </c>
      <c r="K850" s="16" t="str">
        <f t="shared" si="140"/>
        <v>  "pointType202": "",</v>
      </c>
      <c r="L850" s="16" t="str">
        <f t="shared" si="141"/>
        <v>  "pointType202": "",</v>
      </c>
      <c r="M850" s="16" t="str">
        <f t="shared" si="142"/>
        <v>  "pointType202": "",</v>
      </c>
    </row>
    <row r="851" spans="1:13">
      <c r="A851" s="28">
        <f t="shared" si="143"/>
        <v>100849</v>
      </c>
      <c r="B851" s="7" t="s">
        <v>2410</v>
      </c>
      <c r="C851" s="10" t="s">
        <v>2411</v>
      </c>
      <c r="D851" s="13" t="s">
        <v>2412</v>
      </c>
      <c r="I851" s="16" t="str">
        <f>"  """&amp;$B851&amp;""": """&amp;C851&amp;""""&amp;IF(COUNTA($B852)=1,",","")</f>
        <v>  "pointType203": "常规盲盒",</v>
      </c>
      <c r="J851" s="16" t="str">
        <f>"  """&amp;$B851&amp;""": """&amp;D851&amp;""""&amp;IF(COUNTA($B852)=1,",","")</f>
        <v>  "pointType203": "Mystery Box",</v>
      </c>
      <c r="K851" s="16" t="str">
        <f>"  """&amp;$B851&amp;""": """&amp;E851&amp;""""&amp;IF(COUNTA($B852)=1,",","")</f>
        <v>  "pointType203": "",</v>
      </c>
      <c r="L851" s="16" t="str">
        <f>"  """&amp;$B851&amp;""": """&amp;F851&amp;""""&amp;IF(COUNTA($B852)=1,",","")</f>
        <v>  "pointType203": "",</v>
      </c>
      <c r="M851" s="16" t="str">
        <f>"  """&amp;$B851&amp;""": """&amp;G851&amp;""""&amp;IF(COUNTA($B852)=1,",","")</f>
        <v>  "pointType203": "",</v>
      </c>
    </row>
    <row r="852" spans="1:13">
      <c r="A852" s="28">
        <f>IF(COUNTA(B852)=1,100000+ROW(B852)-2,"")</f>
        <v>100850</v>
      </c>
      <c r="B852" s="7" t="s">
        <v>2413</v>
      </c>
      <c r="C852" s="10" t="s">
        <v>2414</v>
      </c>
      <c r="D852" s="13" t="s">
        <v>2415</v>
      </c>
      <c r="I852" s="16" t="str">
        <f>"  """&amp;$B852&amp;""": """&amp;C852&amp;""""&amp;IF(COUNTA($B853)=1,",","")</f>
        <v>  "textReward": "奖励",</v>
      </c>
      <c r="J852" s="16" t="str">
        <f>"  """&amp;$B852&amp;""": """&amp;D852&amp;""""&amp;IF(COUNTA($B853)=1,",","")</f>
        <v>  "textReward": "Reward",</v>
      </c>
      <c r="K852" s="16" t="str">
        <f>"  """&amp;$B852&amp;""": """&amp;E852&amp;""""&amp;IF(COUNTA($B853)=1,",","")</f>
        <v>  "textReward": "",</v>
      </c>
      <c r="L852" s="16" t="str">
        <f>"  """&amp;$B852&amp;""": """&amp;F852&amp;""""&amp;IF(COUNTA($B853)=1,",","")</f>
        <v>  "textReward": "",</v>
      </c>
      <c r="M852" s="16" t="str">
        <f>"  """&amp;$B852&amp;""": """&amp;G852&amp;""""&amp;IF(COUNTA($B853)=1,",","")</f>
        <v>  "textReward": "",</v>
      </c>
    </row>
    <row r="853" ht="41.4" spans="1:13">
      <c r="A853" s="28">
        <f>IF(COUNTA(B853)=1,100000+ROW(B853)-2,"")</f>
        <v>100851</v>
      </c>
      <c r="B853" s="7" t="s">
        <v>2416</v>
      </c>
      <c r="C853" s="10" t="s">
        <v>2417</v>
      </c>
      <c r="D853" s="13" t="s">
        <v>2418</v>
      </c>
      <c r="I853" s="16" t="str">
        <f>"  """&amp;$B853&amp;""": """&amp;C853&amp;""""&amp;IF(COUNTA($B854)=1,",","")</f>
        <v>  "textNFTMysteryBoxDescription": "{value1}开出{value2}积分，有{value3}概率爆出NFT笔",</v>
      </c>
      <c r="J853" s="16" t="str">
        <f>"  """&amp;$B853&amp;""": """&amp;D853&amp;""""&amp;IF(COUNTA($B854)=1,",","")</f>
        <v>  "textNFTMysteryBoxDescription": "{value1} chance to get {value2} points, {value3} chance to get NFT pen",</v>
      </c>
      <c r="K853" s="16" t="str">
        <f>"  """&amp;$B853&amp;""": """&amp;E853&amp;""""&amp;IF(COUNTA($B854)=1,",","")</f>
        <v>  "textNFTMysteryBoxDescription": "",</v>
      </c>
      <c r="L853" s="16" t="str">
        <f>"  """&amp;$B853&amp;""": """&amp;F853&amp;""""&amp;IF(COUNTA($B854)=1,",","")</f>
        <v>  "textNFTMysteryBoxDescription": "",</v>
      </c>
      <c r="M853" s="16" t="str">
        <f>"  """&amp;$B853&amp;""": """&amp;G853&amp;""""&amp;IF(COUNTA($B854)=1,",","")</f>
        <v>  "textNFTMysteryBoxDescription": "",</v>
      </c>
    </row>
    <row r="854" ht="27.6" spans="1:13">
      <c r="A854" s="28">
        <f>IF(COUNTA(B854)=1,100000+ROW(B854)-2,"")</f>
        <v>100852</v>
      </c>
      <c r="B854" s="7" t="s">
        <v>2419</v>
      </c>
      <c r="C854" s="10" t="s">
        <v>2420</v>
      </c>
      <c r="D854" s="13" t="s">
        <v>2421</v>
      </c>
      <c r="I854" s="16" t="str">
        <f>"  """&amp;$B854&amp;""": """&amp;C854&amp;""""&amp;IF(COUNTA($B855)=1,",","")</f>
        <v>  "textMysteryBoxFromAt": "来自 {value1} 于 {value2}"</v>
      </c>
      <c r="J854" s="16" t="str">
        <f>"  """&amp;$B854&amp;""": """&amp;D854&amp;""""&amp;IF(COUNTA($B855)=1,",","")</f>
        <v>  "textMysteryBoxFromAt": "From {value1} at {value2}"</v>
      </c>
      <c r="K854" s="16" t="str">
        <f>"  """&amp;$B854&amp;""": """&amp;E854&amp;""""&amp;IF(COUNTA($B855)=1,",","")</f>
        <v>  "textMysteryBoxFromAt": ""</v>
      </c>
      <c r="L854" s="16" t="str">
        <f>"  """&amp;$B854&amp;""": """&amp;F854&amp;""""&amp;IF(COUNTA($B855)=1,",","")</f>
        <v>  "textMysteryBoxFromAt": ""</v>
      </c>
      <c r="M854" s="16" t="str">
        <f>"  """&amp;$B854&amp;""": """&amp;G854&amp;""""&amp;IF(COUNTA($B855)=1,",","")</f>
        <v>  "textMysteryBoxFromAt": ""</v>
      </c>
    </row>
    <row r="855" spans="1:13">
      <c r="A855" s="28" t="str">
        <f>IF(COUNTA(B855)=1,100000+ROW(B855)-2,"")</f>
        <v/>
      </c>
      <c r="I855" s="16" t="s">
        <v>2422</v>
      </c>
      <c r="J855" s="16" t="s">
        <v>2422</v>
      </c>
      <c r="K855" s="16" t="s">
        <v>2422</v>
      </c>
      <c r="L855" s="16" t="s">
        <v>2422</v>
      </c>
      <c r="M855" s="16" t="s">
        <v>2422</v>
      </c>
    </row>
  </sheetData>
  <autoFilter ref="A2:U832">
    <sortState ref="A2:U832">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849</v>
      </c>
      <c r="B1" s="8" t="s">
        <v>851</v>
      </c>
      <c r="C1" s="9" t="s">
        <v>2423</v>
      </c>
    </row>
    <row r="2" spans="1:3">
      <c r="A2" s="7" t="s">
        <v>852</v>
      </c>
      <c r="B2" s="8" t="s">
        <v>854</v>
      </c>
      <c r="C2" s="9" t="s">
        <v>2423</v>
      </c>
    </row>
    <row r="3" spans="1:3">
      <c r="A3" s="7" t="s">
        <v>855</v>
      </c>
      <c r="B3" s="8" t="s">
        <v>857</v>
      </c>
      <c r="C3" s="9" t="s">
        <v>2423</v>
      </c>
    </row>
    <row r="4" spans="1:3">
      <c r="A4" s="7" t="s">
        <v>858</v>
      </c>
      <c r="B4" s="8" t="s">
        <v>860</v>
      </c>
      <c r="C4" s="9" t="s">
        <v>2423</v>
      </c>
    </row>
    <row r="5" spans="1:3">
      <c r="A5" s="7" t="s">
        <v>861</v>
      </c>
      <c r="B5" s="8" t="s">
        <v>863</v>
      </c>
      <c r="C5" s="9" t="s">
        <v>2423</v>
      </c>
    </row>
    <row r="6" spans="1:3">
      <c r="A6" s="7" t="s">
        <v>2424</v>
      </c>
      <c r="B6" s="8" t="s">
        <v>2425</v>
      </c>
      <c r="C6" s="7" t="s">
        <v>748</v>
      </c>
    </row>
    <row r="7" spans="1:3">
      <c r="A7" s="7" t="s">
        <v>2426</v>
      </c>
      <c r="B7" s="10" t="s">
        <v>160</v>
      </c>
      <c r="C7" s="7" t="s">
        <v>158</v>
      </c>
    </row>
    <row r="8" spans="1:3">
      <c r="A8" s="7" t="s">
        <v>2427</v>
      </c>
      <c r="B8" s="10" t="s">
        <v>2428</v>
      </c>
      <c r="C8" s="7" t="s">
        <v>718</v>
      </c>
    </row>
    <row r="9" spans="1:4">
      <c r="A9" s="7" t="s">
        <v>2429</v>
      </c>
      <c r="B9" s="8" t="s">
        <v>2430</v>
      </c>
      <c r="C9" s="7" t="s">
        <v>212</v>
      </c>
      <c r="D9" s="7"/>
    </row>
    <row r="10" spans="1:3">
      <c r="A10" s="7" t="s">
        <v>2431</v>
      </c>
      <c r="B10" s="8" t="s">
        <v>2432</v>
      </c>
      <c r="C10" s="7" t="s">
        <v>140</v>
      </c>
    </row>
    <row r="11" spans="1:3">
      <c r="A11" s="7" t="s">
        <v>2433</v>
      </c>
      <c r="B11" s="8" t="s">
        <v>2434</v>
      </c>
      <c r="C11" s="7" t="s">
        <v>221</v>
      </c>
    </row>
    <row r="12" spans="1:3">
      <c r="A12" s="7" t="s">
        <v>2435</v>
      </c>
      <c r="B12" s="8" t="s">
        <v>2436</v>
      </c>
      <c r="C12" s="7" t="s">
        <v>312</v>
      </c>
    </row>
    <row r="13" spans="1:3">
      <c r="A13" s="7" t="s">
        <v>2437</v>
      </c>
      <c r="B13" s="8" t="s">
        <v>865</v>
      </c>
      <c r="C13" s="7" t="s">
        <v>864</v>
      </c>
    </row>
    <row r="14" spans="1:3">
      <c r="A14" s="7" t="s">
        <v>2438</v>
      </c>
      <c r="B14" s="8" t="s">
        <v>869</v>
      </c>
      <c r="C14" s="7" t="s">
        <v>867</v>
      </c>
    </row>
    <row r="15" spans="1:3">
      <c r="A15" s="7" t="s">
        <v>2439</v>
      </c>
      <c r="B15" s="8" t="s">
        <v>2440</v>
      </c>
      <c r="C15" s="7" t="s">
        <v>502</v>
      </c>
    </row>
    <row r="16" ht="27.6" spans="1:3">
      <c r="A16" s="7" t="s">
        <v>2441</v>
      </c>
      <c r="B16" s="8" t="s">
        <v>2442</v>
      </c>
      <c r="C16" s="11" t="s">
        <v>2443</v>
      </c>
    </row>
    <row r="17" spans="1:3">
      <c r="A17" s="7" t="s">
        <v>2444</v>
      </c>
      <c r="B17" s="8" t="s">
        <v>2445</v>
      </c>
      <c r="C17" s="7" t="s">
        <v>629</v>
      </c>
    </row>
    <row r="18" spans="1:3">
      <c r="A18" s="7" t="s">
        <v>2446</v>
      </c>
      <c r="B18" s="8" t="s">
        <v>2447</v>
      </c>
      <c r="C18" s="7" t="s">
        <v>134</v>
      </c>
    </row>
    <row r="19" spans="1:3">
      <c r="A19" s="7" t="s">
        <v>2448</v>
      </c>
      <c r="B19" s="8" t="s">
        <v>2449</v>
      </c>
      <c r="C19" s="7" t="s">
        <v>870</v>
      </c>
    </row>
    <row r="20" spans="1:3">
      <c r="A20" s="7" t="s">
        <v>873</v>
      </c>
      <c r="B20" s="8" t="s">
        <v>875</v>
      </c>
      <c r="C20" s="9" t="s">
        <v>2423</v>
      </c>
    </row>
    <row r="21" spans="1:3">
      <c r="A21" s="7" t="s">
        <v>2450</v>
      </c>
      <c r="B21" s="8" t="s">
        <v>878</v>
      </c>
      <c r="C21" s="7" t="s">
        <v>876</v>
      </c>
    </row>
    <row r="22" spans="1:3">
      <c r="A22" s="7" t="s">
        <v>2451</v>
      </c>
      <c r="B22" s="8" t="s">
        <v>2452</v>
      </c>
      <c r="C22" s="7" t="s">
        <v>71</v>
      </c>
    </row>
    <row r="23" spans="1:3">
      <c r="A23" s="7" t="s">
        <v>2453</v>
      </c>
      <c r="B23" s="8" t="s">
        <v>2454</v>
      </c>
      <c r="C23" s="7" t="s">
        <v>224</v>
      </c>
    </row>
    <row r="24" spans="1:3">
      <c r="A24" s="7" t="s">
        <v>2455</v>
      </c>
      <c r="B24" s="8" t="s">
        <v>2456</v>
      </c>
      <c r="C24" s="7" t="s">
        <v>378</v>
      </c>
    </row>
    <row r="25" spans="1:3">
      <c r="A25" s="7" t="s">
        <v>2457</v>
      </c>
      <c r="B25" s="8" t="s">
        <v>1234</v>
      </c>
      <c r="C25" s="7" t="s">
        <v>381</v>
      </c>
    </row>
    <row r="26" spans="1:3">
      <c r="A26" s="7" t="s">
        <v>2458</v>
      </c>
      <c r="B26" s="8" t="s">
        <v>2459</v>
      </c>
      <c r="C26" s="7" t="s">
        <v>725</v>
      </c>
    </row>
    <row r="27" spans="1:3">
      <c r="A27" s="7" t="s">
        <v>2460</v>
      </c>
      <c r="B27" s="8" t="s">
        <v>2461</v>
      </c>
      <c r="C27" s="7" t="s">
        <v>879</v>
      </c>
    </row>
    <row r="28" spans="1:3">
      <c r="A28" s="7" t="s">
        <v>2462</v>
      </c>
      <c r="B28" s="8" t="s">
        <v>2463</v>
      </c>
      <c r="C28" s="7" t="s">
        <v>50</v>
      </c>
    </row>
    <row r="29" spans="1:3">
      <c r="A29" s="7" t="s">
        <v>2464</v>
      </c>
      <c r="B29" s="10" t="s">
        <v>904</v>
      </c>
      <c r="C29" s="7" t="s">
        <v>903</v>
      </c>
    </row>
    <row r="30" spans="1:3">
      <c r="A30" s="7" t="s">
        <v>2465</v>
      </c>
      <c r="B30" s="8" t="s">
        <v>2466</v>
      </c>
      <c r="C30" s="7" t="s">
        <v>381</v>
      </c>
    </row>
    <row r="31" spans="1:3">
      <c r="A31" s="7" t="s">
        <v>2467</v>
      </c>
      <c r="B31" s="8" t="s">
        <v>2468</v>
      </c>
      <c r="C31" s="7" t="s">
        <v>654</v>
      </c>
    </row>
    <row r="32" spans="1:3">
      <c r="A32" s="7" t="s">
        <v>2469</v>
      </c>
      <c r="B32" s="8" t="s">
        <v>2470</v>
      </c>
      <c r="C32" s="7" t="s">
        <v>657</v>
      </c>
    </row>
    <row r="33" spans="1:3">
      <c r="A33" s="7" t="s">
        <v>882</v>
      </c>
      <c r="B33" s="8" t="s">
        <v>883</v>
      </c>
      <c r="C33" s="8" t="s">
        <v>2423</v>
      </c>
    </row>
    <row r="34" spans="1:3">
      <c r="A34" s="7" t="s">
        <v>885</v>
      </c>
      <c r="B34" s="8" t="s">
        <v>886</v>
      </c>
      <c r="C34" s="8" t="s">
        <v>2423</v>
      </c>
    </row>
    <row r="35" spans="1:3">
      <c r="A35" s="7" t="s">
        <v>888</v>
      </c>
      <c r="B35" s="8" t="s">
        <v>2471</v>
      </c>
      <c r="C35" s="11" t="s">
        <v>2423</v>
      </c>
    </row>
    <row r="36" spans="1:3">
      <c r="A36" s="7" t="s">
        <v>2472</v>
      </c>
      <c r="B36" s="8" t="s">
        <v>892</v>
      </c>
      <c r="C36" s="7" t="s">
        <v>891</v>
      </c>
    </row>
    <row r="37" spans="1:3">
      <c r="A37" s="7" t="s">
        <v>2473</v>
      </c>
      <c r="B37" s="8" t="s">
        <v>2474</v>
      </c>
      <c r="C37" s="7" t="s">
        <v>894</v>
      </c>
    </row>
    <row r="38" spans="1:3">
      <c r="A38" s="7" t="s">
        <v>2475</v>
      </c>
      <c r="B38" s="8" t="s">
        <v>898</v>
      </c>
      <c r="C38" s="7" t="s">
        <v>897</v>
      </c>
    </row>
    <row r="39" spans="1:3">
      <c r="A39" s="7" t="s">
        <v>2476</v>
      </c>
      <c r="B39" s="8" t="s">
        <v>901</v>
      </c>
      <c r="C39" s="7" t="s">
        <v>900</v>
      </c>
    </row>
    <row r="40" spans="1:3">
      <c r="A40" s="5" t="s">
        <v>908</v>
      </c>
      <c r="B40" s="8" t="s">
        <v>907</v>
      </c>
      <c r="C40" s="7" t="s">
        <v>906</v>
      </c>
    </row>
    <row r="41" ht="82.8" spans="1:3">
      <c r="A41" s="5" t="s">
        <v>909</v>
      </c>
      <c r="B41" s="5" t="s">
        <v>910</v>
      </c>
      <c r="C41" s="9" t="s">
        <v>911</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2477</v>
      </c>
      <c r="D5" s="4" t="s">
        <v>2478</v>
      </c>
      <c r="E5" s="4" t="s">
        <v>1971</v>
      </c>
      <c r="F5" s="4" t="s">
        <v>1985</v>
      </c>
      <c r="G5" s="4" t="s">
        <v>2479</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2480</v>
      </c>
      <c r="G7" s="5" t="s">
        <v>2481</v>
      </c>
    </row>
    <row r="8" ht="41.4" spans="2:7">
      <c r="B8" t="str">
        <f>"error"&amp;E8</f>
        <v>error102</v>
      </c>
      <c r="C8" s="5" t="s">
        <v>1351</v>
      </c>
      <c r="D8" s="5" t="s">
        <v>1352</v>
      </c>
      <c r="E8" s="5">
        <v>102</v>
      </c>
      <c r="F8" s="5" t="s">
        <v>2482</v>
      </c>
      <c r="G8" s="5" t="s">
        <v>2483</v>
      </c>
    </row>
    <row r="9" ht="55.2" spans="2:7">
      <c r="B9" t="str">
        <f t="shared" ref="B9:B30" si="0">"error"&amp;E9</f>
        <v>error200</v>
      </c>
      <c r="C9" s="5" t="s">
        <v>1356</v>
      </c>
      <c r="D9" s="5" t="s">
        <v>1357</v>
      </c>
      <c r="E9" s="5">
        <v>200</v>
      </c>
      <c r="F9" s="5" t="s">
        <v>2484</v>
      </c>
      <c r="G9" s="5" t="s">
        <v>1356</v>
      </c>
    </row>
    <row r="10" ht="27.6" spans="2:7">
      <c r="B10" t="str">
        <f t="shared" si="0"/>
        <v>error305</v>
      </c>
      <c r="C10" s="5" t="s">
        <v>1359</v>
      </c>
      <c r="D10" s="5" t="s">
        <v>2485</v>
      </c>
      <c r="E10" s="5">
        <v>305</v>
      </c>
      <c r="F10" s="5" t="s">
        <v>2485</v>
      </c>
      <c r="G10" s="5" t="s">
        <v>1359</v>
      </c>
    </row>
    <row r="11" ht="41.4" spans="2:6">
      <c r="B11" t="str">
        <f t="shared" si="0"/>
        <v>error307</v>
      </c>
      <c r="D11" s="5" t="s">
        <v>2486</v>
      </c>
      <c r="E11" s="5">
        <v>307</v>
      </c>
      <c r="F11" s="5" t="s">
        <v>2486</v>
      </c>
    </row>
    <row r="12" ht="41.4" spans="2:6">
      <c r="B12" t="str">
        <f t="shared" si="0"/>
        <v>error308</v>
      </c>
      <c r="D12" s="5" t="s">
        <v>2487</v>
      </c>
      <c r="E12" s="5">
        <v>308</v>
      </c>
      <c r="F12" s="5" t="s">
        <v>2487</v>
      </c>
    </row>
    <row r="13" ht="27.6" spans="2:7">
      <c r="B13" t="str">
        <f t="shared" si="0"/>
        <v>error400</v>
      </c>
      <c r="C13" s="5" t="s">
        <v>1366</v>
      </c>
      <c r="D13" s="5" t="s">
        <v>2488</v>
      </c>
      <c r="E13" s="5">
        <v>400</v>
      </c>
      <c r="F13" s="5" t="s">
        <v>2488</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2489</v>
      </c>
      <c r="E15" s="5">
        <v>402</v>
      </c>
      <c r="F15" s="5" t="s">
        <v>2489</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2490</v>
      </c>
      <c r="E17" s="5">
        <v>404</v>
      </c>
      <c r="F17" s="5" t="s">
        <v>2490</v>
      </c>
      <c r="G17" s="5" t="s">
        <v>1378</v>
      </c>
    </row>
    <row r="18" ht="41.4" spans="2:7">
      <c r="B18" t="str">
        <f t="shared" si="0"/>
        <v>error405</v>
      </c>
      <c r="C18" s="5" t="s">
        <v>1381</v>
      </c>
      <c r="D18" s="5" t="s">
        <v>2491</v>
      </c>
      <c r="E18" s="5">
        <v>405</v>
      </c>
      <c r="F18" s="5" t="s">
        <v>2491</v>
      </c>
      <c r="G18" s="5" t="s">
        <v>1381</v>
      </c>
    </row>
    <row r="19" ht="27.6" spans="2:7">
      <c r="B19" t="str">
        <f t="shared" si="0"/>
        <v>error406</v>
      </c>
      <c r="C19" s="5" t="s">
        <v>1384</v>
      </c>
      <c r="D19" s="5" t="s">
        <v>2492</v>
      </c>
      <c r="E19" s="5">
        <v>406</v>
      </c>
      <c r="F19" s="5" t="s">
        <v>2492</v>
      </c>
      <c r="G19" s="5" t="s">
        <v>1384</v>
      </c>
    </row>
    <row r="20" ht="55.2" spans="2:7">
      <c r="B20" t="str">
        <f t="shared" si="0"/>
        <v>error407</v>
      </c>
      <c r="C20" s="5" t="s">
        <v>1387</v>
      </c>
      <c r="D20" s="5" t="s">
        <v>2493</v>
      </c>
      <c r="E20" s="5">
        <v>407</v>
      </c>
      <c r="F20" s="5" t="s">
        <v>2493</v>
      </c>
      <c r="G20" s="5" t="s">
        <v>1387</v>
      </c>
    </row>
    <row r="21" ht="27.6" spans="2:7">
      <c r="B21" t="str">
        <f t="shared" si="0"/>
        <v>error408</v>
      </c>
      <c r="C21" s="5" t="s">
        <v>1390</v>
      </c>
      <c r="D21" s="5" t="s">
        <v>2494</v>
      </c>
      <c r="E21" s="5">
        <v>408</v>
      </c>
      <c r="F21" s="5" t="s">
        <v>2494</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2495</v>
      </c>
      <c r="E24" s="5">
        <v>411</v>
      </c>
      <c r="F24" s="5" t="s">
        <v>2495</v>
      </c>
      <c r="G24" s="5" t="s">
        <v>1399</v>
      </c>
    </row>
    <row r="25" ht="41.4" spans="2:7">
      <c r="B25" t="str">
        <f t="shared" si="0"/>
        <v>error412</v>
      </c>
      <c r="C25" s="5" t="s">
        <v>1402</v>
      </c>
      <c r="D25" s="5" t="s">
        <v>2496</v>
      </c>
      <c r="E25" s="5">
        <v>412</v>
      </c>
      <c r="F25" s="5" t="s">
        <v>2496</v>
      </c>
      <c r="G25" s="5" t="s">
        <v>1402</v>
      </c>
    </row>
    <row r="26" ht="41.4" spans="2:7">
      <c r="B26" t="str">
        <f t="shared" si="0"/>
        <v>error413</v>
      </c>
      <c r="C26" s="5" t="s">
        <v>1405</v>
      </c>
      <c r="D26" s="5" t="s">
        <v>2497</v>
      </c>
      <c r="E26" s="5">
        <v>413</v>
      </c>
      <c r="F26" s="5" t="s">
        <v>2497</v>
      </c>
      <c r="G26" s="5" t="s">
        <v>1405</v>
      </c>
    </row>
    <row r="27" ht="41.4" spans="2:7">
      <c r="B27" t="str">
        <f t="shared" si="0"/>
        <v>error429</v>
      </c>
      <c r="C27" s="5" t="s">
        <v>1408</v>
      </c>
      <c r="D27" s="5" t="s">
        <v>2498</v>
      </c>
      <c r="E27" s="5">
        <v>429</v>
      </c>
      <c r="F27" s="5" t="s">
        <v>2498</v>
      </c>
      <c r="G27" s="5" t="s">
        <v>1408</v>
      </c>
    </row>
    <row r="28" ht="41.4" spans="2:7">
      <c r="B28" t="str">
        <f t="shared" si="0"/>
        <v>error500</v>
      </c>
      <c r="C28" s="5" t="s">
        <v>1411</v>
      </c>
      <c r="D28" s="5" t="s">
        <v>2499</v>
      </c>
      <c r="E28" s="5">
        <v>500</v>
      </c>
      <c r="F28" s="5" t="s">
        <v>2499</v>
      </c>
      <c r="G28" s="5" t="s">
        <v>1411</v>
      </c>
    </row>
    <row r="29" ht="96.6" spans="2:7">
      <c r="B29" t="str">
        <f t="shared" si="0"/>
        <v>error1001</v>
      </c>
      <c r="C29" s="5" t="s">
        <v>1414</v>
      </c>
      <c r="D29" s="5" t="s">
        <v>1415</v>
      </c>
      <c r="E29" s="5">
        <v>1001</v>
      </c>
      <c r="F29" s="5" t="s">
        <v>2500</v>
      </c>
      <c r="G29" s="5" t="s">
        <v>2501</v>
      </c>
    </row>
    <row r="30" ht="82.8" spans="2:7">
      <c r="B30" t="str">
        <f t="shared" si="0"/>
        <v>error1002</v>
      </c>
      <c r="C30" s="5" t="s">
        <v>1417</v>
      </c>
      <c r="D30" s="5" t="s">
        <v>1418</v>
      </c>
      <c r="E30" s="5">
        <v>1002</v>
      </c>
      <c r="F30" s="5" t="s">
        <v>2502</v>
      </c>
      <c r="G30" s="5" t="s">
        <v>2503</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2504</v>
      </c>
      <c r="G32" s="5" t="s">
        <v>1423</v>
      </c>
    </row>
    <row r="33" ht="69" spans="2:7">
      <c r="B33" t="str">
        <f t="shared" si="1"/>
        <v>error10003</v>
      </c>
      <c r="C33" s="5" t="s">
        <v>1426</v>
      </c>
      <c r="D33" s="5" t="s">
        <v>1427</v>
      </c>
      <c r="E33" s="5">
        <v>10003</v>
      </c>
      <c r="F33" s="5" t="s">
        <v>2505</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2506</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2507</v>
      </c>
      <c r="G40" s="5" t="s">
        <v>2508</v>
      </c>
    </row>
    <row r="41" ht="165.6" spans="2:7">
      <c r="B41" t="str">
        <f t="shared" si="1"/>
        <v>error10013</v>
      </c>
      <c r="C41" s="5" t="s">
        <v>1449</v>
      </c>
      <c r="D41" s="5" t="s">
        <v>2509</v>
      </c>
      <c r="E41" s="5">
        <v>10013</v>
      </c>
      <c r="F41" s="5" t="s">
        <v>2510</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2511</v>
      </c>
      <c r="G43" s="5" t="s">
        <v>2512</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2513</v>
      </c>
      <c r="E49" s="5">
        <v>10021</v>
      </c>
      <c r="F49" s="5" t="s">
        <v>2513</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2514</v>
      </c>
      <c r="E54" s="5">
        <v>4004</v>
      </c>
      <c r="F54" s="5" t="s">
        <v>2514</v>
      </c>
      <c r="G54" s="5" t="s">
        <v>1488</v>
      </c>
    </row>
    <row r="55" ht="27.6" spans="2:7">
      <c r="B55" t="str">
        <f t="shared" si="2"/>
        <v>error4007</v>
      </c>
      <c r="C55" s="5" t="s">
        <v>1467</v>
      </c>
      <c r="D55" s="5" t="s">
        <v>2515</v>
      </c>
      <c r="E55" s="5">
        <v>4007</v>
      </c>
      <c r="F55" s="5" t="s">
        <v>2515</v>
      </c>
      <c r="G55" s="5" t="s">
        <v>1467</v>
      </c>
    </row>
    <row r="56" ht="27.6" spans="2:7">
      <c r="B56" t="str">
        <f t="shared" si="2"/>
        <v>error4008</v>
      </c>
      <c r="C56" s="5" t="s">
        <v>1493</v>
      </c>
      <c r="D56" s="5" t="s">
        <v>2516</v>
      </c>
      <c r="E56" s="5">
        <v>4008</v>
      </c>
      <c r="F56" s="5" t="s">
        <v>2516</v>
      </c>
      <c r="G56" s="5" t="s">
        <v>1493</v>
      </c>
    </row>
    <row r="57" ht="27.6" spans="2:7">
      <c r="B57" t="str">
        <f t="shared" si="2"/>
        <v>error4009</v>
      </c>
      <c r="E57" s="6">
        <v>4009</v>
      </c>
      <c r="F57" s="6" t="s">
        <v>2517</v>
      </c>
      <c r="G57" s="5" t="s">
        <v>2518</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2519</v>
      </c>
      <c r="E60" s="5">
        <v>3001</v>
      </c>
      <c r="F60" s="5" t="s">
        <v>2519</v>
      </c>
      <c r="G60" s="5" t="s">
        <v>1502</v>
      </c>
    </row>
    <row r="61" ht="41.4" spans="2:7">
      <c r="B61" t="str">
        <f t="shared" si="3"/>
        <v>error3002</v>
      </c>
      <c r="C61" s="5" t="s">
        <v>1505</v>
      </c>
      <c r="D61" s="5" t="s">
        <v>2520</v>
      </c>
      <c r="E61" s="5">
        <v>3002</v>
      </c>
      <c r="F61" s="5" t="s">
        <v>2520</v>
      </c>
      <c r="G61" s="5" t="s">
        <v>1505</v>
      </c>
    </row>
    <row r="62" ht="27.6" spans="2:7">
      <c r="B62" t="str">
        <f t="shared" si="3"/>
        <v>error3003</v>
      </c>
      <c r="C62" s="5" t="s">
        <v>1508</v>
      </c>
      <c r="D62" s="5" t="s">
        <v>2521</v>
      </c>
      <c r="E62" s="5">
        <v>3003</v>
      </c>
      <c r="F62" s="5" t="s">
        <v>2521</v>
      </c>
      <c r="G62" s="5" t="s">
        <v>1508</v>
      </c>
    </row>
    <row r="63" ht="41.4" spans="2:7">
      <c r="B63" t="str">
        <f t="shared" si="3"/>
        <v>error3006</v>
      </c>
      <c r="C63" s="5" t="s">
        <v>1511</v>
      </c>
      <c r="D63" s="5" t="s">
        <v>2522</v>
      </c>
      <c r="E63" s="5">
        <v>3006</v>
      </c>
      <c r="F63" s="5" t="s">
        <v>2522</v>
      </c>
      <c r="G63" s="5" t="s">
        <v>1511</v>
      </c>
    </row>
    <row r="64" ht="55.2" spans="2:7">
      <c r="B64" t="str">
        <f t="shared" si="3"/>
        <v>error3007</v>
      </c>
      <c r="C64" s="5" t="s">
        <v>1514</v>
      </c>
      <c r="D64" s="5" t="s">
        <v>2523</v>
      </c>
      <c r="E64" s="5">
        <v>3007</v>
      </c>
      <c r="F64" s="5" t="s">
        <v>2523</v>
      </c>
      <c r="G64" s="5" t="s">
        <v>1514</v>
      </c>
    </row>
    <row r="65" ht="110.4" spans="2:7">
      <c r="B65" t="str">
        <f t="shared" si="3"/>
        <v>error3008</v>
      </c>
      <c r="C65" s="5" t="s">
        <v>2524</v>
      </c>
      <c r="D65" s="5" t="s">
        <v>2525</v>
      </c>
      <c r="E65" s="5">
        <v>3008</v>
      </c>
      <c r="F65" s="5" t="s">
        <v>2525</v>
      </c>
      <c r="G65" s="5" t="s">
        <v>2524</v>
      </c>
    </row>
    <row r="66" ht="27.6" spans="2:7">
      <c r="B66" t="str">
        <f t="shared" si="3"/>
        <v>error3009</v>
      </c>
      <c r="C66" s="5" t="s">
        <v>1520</v>
      </c>
      <c r="D66" s="5" t="s">
        <v>2526</v>
      </c>
      <c r="E66" s="5">
        <v>3009</v>
      </c>
      <c r="F66" s="5" t="s">
        <v>2526</v>
      </c>
      <c r="G66" s="5" t="s">
        <v>1520</v>
      </c>
    </row>
    <row r="67" ht="69" spans="2:7">
      <c r="B67" t="str">
        <f t="shared" si="3"/>
        <v>error3010</v>
      </c>
      <c r="C67" s="5" t="s">
        <v>2527</v>
      </c>
      <c r="D67" s="5" t="s">
        <v>2528</v>
      </c>
      <c r="E67" s="5">
        <v>3010</v>
      </c>
      <c r="F67" s="5" t="s">
        <v>2528</v>
      </c>
      <c r="G67" s="5" t="s">
        <v>2527</v>
      </c>
    </row>
    <row r="68" ht="41.4" spans="2:7">
      <c r="B68" t="str">
        <f t="shared" si="3"/>
        <v>error3011</v>
      </c>
      <c r="C68" s="5" t="s">
        <v>1526</v>
      </c>
      <c r="D68" s="5" t="s">
        <v>2529</v>
      </c>
      <c r="E68" s="5">
        <v>3011</v>
      </c>
      <c r="F68" s="5" t="s">
        <v>2529</v>
      </c>
      <c r="G68" s="5" t="s">
        <v>1526</v>
      </c>
    </row>
    <row r="69" ht="41.4" spans="2:7">
      <c r="B69" t="str">
        <f t="shared" si="3"/>
        <v>error3012</v>
      </c>
      <c r="C69" s="5" t="s">
        <v>1529</v>
      </c>
      <c r="D69" s="5" t="s">
        <v>2530</v>
      </c>
      <c r="E69" s="5">
        <v>3012</v>
      </c>
      <c r="F69" s="5" t="s">
        <v>2530</v>
      </c>
      <c r="G69" s="5" t="s">
        <v>1529</v>
      </c>
    </row>
    <row r="70" ht="55.2" spans="2:7">
      <c r="B70" t="str">
        <f t="shared" si="3"/>
        <v>error3013</v>
      </c>
      <c r="C70" s="5" t="s">
        <v>1532</v>
      </c>
      <c r="D70" s="5" t="s">
        <v>2531</v>
      </c>
      <c r="E70" s="5">
        <v>3013</v>
      </c>
      <c r="F70" s="5" t="s">
        <v>2531</v>
      </c>
      <c r="G70" s="5" t="s">
        <v>1532</v>
      </c>
    </row>
    <row r="71" ht="41.4" spans="2:7">
      <c r="B71" t="str">
        <f t="shared" si="3"/>
        <v>error3014</v>
      </c>
      <c r="C71" s="5" t="s">
        <v>1535</v>
      </c>
      <c r="D71" s="5" t="s">
        <v>2532</v>
      </c>
      <c r="E71" s="5">
        <v>3014</v>
      </c>
      <c r="F71" s="5" t="s">
        <v>2532</v>
      </c>
      <c r="G71" s="5" t="s">
        <v>1535</v>
      </c>
    </row>
    <row r="72" ht="41.4" spans="2:7">
      <c r="B72" t="str">
        <f t="shared" si="3"/>
        <v>error3015</v>
      </c>
      <c r="C72" s="5" t="s">
        <v>1538</v>
      </c>
      <c r="D72" s="5" t="s">
        <v>2533</v>
      </c>
      <c r="E72" s="5">
        <v>3015</v>
      </c>
      <c r="F72" s="5" t="s">
        <v>2533</v>
      </c>
      <c r="G72" s="5" t="s">
        <v>1538</v>
      </c>
    </row>
    <row r="73" ht="41.4" spans="2:7">
      <c r="B73" t="str">
        <f t="shared" si="3"/>
        <v>error3016</v>
      </c>
      <c r="C73" s="5" t="s">
        <v>1541</v>
      </c>
      <c r="D73" s="5" t="s">
        <v>2534</v>
      </c>
      <c r="E73" s="5">
        <v>3016</v>
      </c>
      <c r="F73" s="5" t="s">
        <v>2534</v>
      </c>
      <c r="G73" s="5" t="s">
        <v>1541</v>
      </c>
    </row>
    <row r="74" ht="55.2" spans="2:7">
      <c r="B74" t="str">
        <f t="shared" si="3"/>
        <v>error3017</v>
      </c>
      <c r="C74" s="5" t="s">
        <v>1544</v>
      </c>
      <c r="D74" s="5" t="s">
        <v>2535</v>
      </c>
      <c r="E74" s="5">
        <v>3017</v>
      </c>
      <c r="F74" s="5" t="s">
        <v>2535</v>
      </c>
      <c r="G74" s="5" t="s">
        <v>1544</v>
      </c>
    </row>
    <row r="75" ht="27.6" spans="2:7">
      <c r="B75" t="str">
        <f t="shared" si="3"/>
        <v>error3021</v>
      </c>
      <c r="C75" s="5" t="s">
        <v>1547</v>
      </c>
      <c r="D75" s="5" t="s">
        <v>2536</v>
      </c>
      <c r="E75" s="5">
        <v>3021</v>
      </c>
      <c r="F75" s="5" t="s">
        <v>2536</v>
      </c>
      <c r="G75" s="5" t="s">
        <v>1547</v>
      </c>
    </row>
    <row r="76" ht="41.4" spans="2:7">
      <c r="B76" t="str">
        <f t="shared" si="3"/>
        <v>error3022</v>
      </c>
      <c r="C76" s="5" t="s">
        <v>1550</v>
      </c>
      <c r="D76" s="5" t="s">
        <v>2537</v>
      </c>
      <c r="E76" s="5">
        <v>3022</v>
      </c>
      <c r="F76" s="5" t="s">
        <v>2537</v>
      </c>
      <c r="G76" s="5" t="s">
        <v>1550</v>
      </c>
    </row>
    <row r="77" ht="41.4" spans="2:7">
      <c r="B77" t="str">
        <f t="shared" si="3"/>
        <v>error3023</v>
      </c>
      <c r="C77" s="5" t="s">
        <v>1553</v>
      </c>
      <c r="D77" s="5" t="s">
        <v>2538</v>
      </c>
      <c r="E77" s="5">
        <v>3023</v>
      </c>
      <c r="F77" s="5" t="s">
        <v>2538</v>
      </c>
      <c r="G77" s="5" t="s">
        <v>1553</v>
      </c>
    </row>
    <row r="78" ht="41.4" spans="2:7">
      <c r="B78" t="str">
        <f t="shared" si="3"/>
        <v>error3024</v>
      </c>
      <c r="C78" s="5" t="s">
        <v>1556</v>
      </c>
      <c r="D78" s="5" t="s">
        <v>2539</v>
      </c>
      <c r="E78" s="5">
        <v>3024</v>
      </c>
      <c r="F78" s="5" t="s">
        <v>2539</v>
      </c>
      <c r="G78" s="5" t="s">
        <v>1556</v>
      </c>
    </row>
    <row r="79" ht="41.4" spans="2:7">
      <c r="B79" t="str">
        <f t="shared" si="3"/>
        <v>error3025</v>
      </c>
      <c r="C79" s="5" t="s">
        <v>1559</v>
      </c>
      <c r="D79" s="5" t="s">
        <v>2540</v>
      </c>
      <c r="E79" s="5">
        <v>3025</v>
      </c>
      <c r="F79" s="5" t="s">
        <v>2540</v>
      </c>
      <c r="G79" s="5" t="s">
        <v>1559</v>
      </c>
    </row>
    <row r="80" ht="69" spans="2:7">
      <c r="B80" t="str">
        <f t="shared" si="3"/>
        <v>error3026</v>
      </c>
      <c r="C80" s="5" t="s">
        <v>1562</v>
      </c>
      <c r="D80" s="5" t="s">
        <v>2541</v>
      </c>
      <c r="E80" s="5">
        <v>3026</v>
      </c>
      <c r="F80" s="5" t="s">
        <v>2541</v>
      </c>
      <c r="G80" s="5" t="s">
        <v>1562</v>
      </c>
    </row>
    <row r="81" ht="69" spans="2:7">
      <c r="B81" t="str">
        <f t="shared" si="3"/>
        <v>error3027</v>
      </c>
      <c r="C81" s="5" t="s">
        <v>1565</v>
      </c>
      <c r="D81" s="5" t="s">
        <v>2542</v>
      </c>
      <c r="E81" s="5">
        <v>3027</v>
      </c>
      <c r="F81" s="5" t="s">
        <v>2542</v>
      </c>
      <c r="G81" s="5" t="s">
        <v>1565</v>
      </c>
    </row>
    <row r="82" ht="41.4" spans="2:7">
      <c r="B82" t="str">
        <f t="shared" si="3"/>
        <v>error3028</v>
      </c>
      <c r="C82" s="5" t="s">
        <v>1568</v>
      </c>
      <c r="D82" s="5" t="s">
        <v>2543</v>
      </c>
      <c r="E82" s="5">
        <v>3028</v>
      </c>
      <c r="F82" s="5" t="s">
        <v>2543</v>
      </c>
      <c r="G82" s="5" t="s">
        <v>1568</v>
      </c>
    </row>
    <row r="83" ht="41.4" spans="2:7">
      <c r="B83" t="str">
        <f t="shared" si="3"/>
        <v>error3029</v>
      </c>
      <c r="C83" s="5" t="s">
        <v>1571</v>
      </c>
      <c r="D83" s="5" t="s">
        <v>2544</v>
      </c>
      <c r="E83" s="5">
        <v>3029</v>
      </c>
      <c r="F83" s="5" t="s">
        <v>2544</v>
      </c>
      <c r="G83" s="5" t="s">
        <v>1571</v>
      </c>
    </row>
    <row r="84" ht="41.4" spans="2:7">
      <c r="B84" t="str">
        <f t="shared" si="3"/>
        <v>error3030</v>
      </c>
      <c r="C84" s="5" t="s">
        <v>1574</v>
      </c>
      <c r="D84" s="5" t="s">
        <v>2545</v>
      </c>
      <c r="E84" s="5">
        <v>3030</v>
      </c>
      <c r="F84" s="5" t="s">
        <v>2545</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2546</v>
      </c>
      <c r="E87" s="5">
        <v>3033</v>
      </c>
      <c r="F87" s="5" t="s">
        <v>2546</v>
      </c>
      <c r="G87" s="5" t="s">
        <v>1583</v>
      </c>
    </row>
    <row r="88" ht="27.6" spans="2:7">
      <c r="B88" t="str">
        <f t="shared" si="3"/>
        <v>error3034</v>
      </c>
      <c r="C88" s="5" t="s">
        <v>1586</v>
      </c>
      <c r="D88" s="5" t="s">
        <v>2547</v>
      </c>
      <c r="E88" s="5">
        <v>3034</v>
      </c>
      <c r="F88" s="5" t="s">
        <v>2547</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2548</v>
      </c>
      <c r="E90" s="5">
        <v>3036</v>
      </c>
      <c r="F90" s="5" t="s">
        <v>2548</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2549</v>
      </c>
      <c r="E92" s="5">
        <v>3038</v>
      </c>
      <c r="F92" s="5" t="s">
        <v>2549</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2550</v>
      </c>
      <c r="G104" s="5" t="s">
        <v>2551</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2552</v>
      </c>
      <c r="E115" s="5">
        <v>20022</v>
      </c>
      <c r="F115" s="5" t="s">
        <v>2552</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1681</v>
      </c>
      <c r="D121" s="5" t="s">
        <v>1682</v>
      </c>
      <c r="E121" s="5">
        <v>20028</v>
      </c>
      <c r="F121" s="5" t="s">
        <v>1682</v>
      </c>
      <c r="G121" s="5" t="s">
        <v>1681</v>
      </c>
    </row>
    <row r="122" ht="82.8" spans="2:7">
      <c r="B122" t="str">
        <f t="shared" si="4"/>
        <v>error20029</v>
      </c>
      <c r="C122" s="5" t="s">
        <v>1684</v>
      </c>
      <c r="D122" s="5" t="s">
        <v>2553</v>
      </c>
      <c r="E122" s="5">
        <v>20029</v>
      </c>
      <c r="F122" s="5" t="s">
        <v>2553</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2554</v>
      </c>
      <c r="D124" s="5" t="s">
        <v>1691</v>
      </c>
      <c r="E124" s="5">
        <v>20031</v>
      </c>
      <c r="F124" s="5" t="s">
        <v>1691</v>
      </c>
      <c r="G124" s="5" t="s">
        <v>2554</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1700</v>
      </c>
      <c r="D128" s="5" t="s">
        <v>1701</v>
      </c>
      <c r="E128" s="5">
        <v>20035</v>
      </c>
      <c r="F128" s="5" t="s">
        <v>1701</v>
      </c>
      <c r="G128" s="5" t="s">
        <v>1700</v>
      </c>
    </row>
    <row r="129" ht="82.8" spans="2:7">
      <c r="B129" t="str">
        <f t="shared" si="4"/>
        <v>error20036</v>
      </c>
      <c r="C129" s="5" t="s">
        <v>1703</v>
      </c>
      <c r="D129" s="5" t="s">
        <v>1704</v>
      </c>
      <c r="E129" s="5">
        <v>20036</v>
      </c>
      <c r="F129" s="5" t="s">
        <v>1704</v>
      </c>
      <c r="G129" s="5" t="s">
        <v>1703</v>
      </c>
    </row>
    <row r="130" ht="55.2" spans="2:7">
      <c r="B130" t="str">
        <f t="shared" si="4"/>
        <v>error20037</v>
      </c>
      <c r="C130" s="5" t="s">
        <v>1706</v>
      </c>
      <c r="D130" s="5" t="s">
        <v>1707</v>
      </c>
      <c r="E130" s="5">
        <v>20037</v>
      </c>
      <c r="F130" s="5" t="s">
        <v>1707</v>
      </c>
      <c r="G130" s="5" t="s">
        <v>1706</v>
      </c>
    </row>
    <row r="131" ht="55.2" spans="2:7">
      <c r="B131" t="str">
        <f t="shared" si="4"/>
        <v>error20038</v>
      </c>
      <c r="C131" s="5" t="s">
        <v>1709</v>
      </c>
      <c r="D131" s="5" t="s">
        <v>1710</v>
      </c>
      <c r="E131" s="5">
        <v>20038</v>
      </c>
      <c r="F131" s="5" t="s">
        <v>1710</v>
      </c>
      <c r="G131" s="5" t="s">
        <v>1709</v>
      </c>
    </row>
    <row r="132" ht="96.6" spans="2:7">
      <c r="B132" t="str">
        <f t="shared" si="4"/>
        <v>error20039</v>
      </c>
      <c r="C132" s="5" t="s">
        <v>1712</v>
      </c>
      <c r="D132" s="5" t="s">
        <v>1713</v>
      </c>
      <c r="E132" s="5">
        <v>20039</v>
      </c>
      <c r="F132" s="5" t="s">
        <v>1713</v>
      </c>
      <c r="G132" s="5" t="s">
        <v>1712</v>
      </c>
    </row>
    <row r="133" ht="55.2" spans="2:7">
      <c r="B133" t="str">
        <f t="shared" si="4"/>
        <v>error20040</v>
      </c>
      <c r="C133" s="5" t="s">
        <v>1715</v>
      </c>
      <c r="D133" s="5" t="s">
        <v>1716</v>
      </c>
      <c r="E133" s="5">
        <v>20040</v>
      </c>
      <c r="F133" s="5" t="s">
        <v>1716</v>
      </c>
      <c r="G133" s="5" t="s">
        <v>1715</v>
      </c>
    </row>
    <row r="134" ht="41.4" spans="2:7">
      <c r="B134" t="str">
        <f t="shared" si="4"/>
        <v>error20041</v>
      </c>
      <c r="C134" s="5" t="s">
        <v>1718</v>
      </c>
      <c r="D134" s="5" t="s">
        <v>1719</v>
      </c>
      <c r="E134" s="5">
        <v>20041</v>
      </c>
      <c r="F134" s="5" t="s">
        <v>1719</v>
      </c>
      <c r="G134" s="5" t="s">
        <v>1718</v>
      </c>
    </row>
    <row r="135" ht="41.4" spans="2:7">
      <c r="B135" t="str">
        <f t="shared" si="4"/>
        <v>error20042</v>
      </c>
      <c r="C135" s="5" t="s">
        <v>1721</v>
      </c>
      <c r="D135" s="5" t="s">
        <v>1722</v>
      </c>
      <c r="E135" s="5">
        <v>20042</v>
      </c>
      <c r="F135" s="5" t="s">
        <v>1722</v>
      </c>
      <c r="G135" s="5" t="s">
        <v>1721</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1971</v>
      </c>
      <c r="E3" s="2" t="s">
        <v>2477</v>
      </c>
    </row>
    <row r="4" ht="19.2" spans="3:13">
      <c r="C4" t="str">
        <f>"error"&amp;D4</f>
        <v>error4001</v>
      </c>
      <c r="D4" s="3">
        <v>4001</v>
      </c>
      <c r="E4" s="3" t="s">
        <v>2231</v>
      </c>
      <c r="J4" t="s">
        <v>2555</v>
      </c>
      <c r="K4">
        <v>300</v>
      </c>
      <c r="L4" t="str">
        <f>J4&amp;K4</f>
        <v>pointType300</v>
      </c>
      <c r="M4" t="s">
        <v>1165</v>
      </c>
    </row>
    <row r="5" ht="19.2" spans="3:13">
      <c r="C5" t="str">
        <f t="shared" ref="C5:C19" si="0">"error"&amp;D5</f>
        <v>error4100</v>
      </c>
      <c r="D5" s="3">
        <v>4100</v>
      </c>
      <c r="E5" s="3" t="s">
        <v>2234</v>
      </c>
      <c r="J5" t="s">
        <v>2555</v>
      </c>
      <c r="K5">
        <v>301</v>
      </c>
      <c r="L5" t="str">
        <f t="shared" ref="L5:L23" si="1">J5&amp;K5</f>
        <v>pointType301</v>
      </c>
      <c r="M5" t="s">
        <v>2556</v>
      </c>
    </row>
    <row r="6" ht="19.2" spans="3:13">
      <c r="C6" t="str">
        <f t="shared" si="0"/>
        <v>error4200</v>
      </c>
      <c r="D6" s="3">
        <v>4200</v>
      </c>
      <c r="E6" s="3" t="s">
        <v>2237</v>
      </c>
      <c r="J6" t="s">
        <v>2555</v>
      </c>
      <c r="K6">
        <v>302</v>
      </c>
      <c r="L6" t="str">
        <f t="shared" si="1"/>
        <v>pointType302</v>
      </c>
      <c r="M6" t="s">
        <v>24</v>
      </c>
    </row>
    <row r="7" ht="19.2" spans="3:13">
      <c r="C7" t="str">
        <f t="shared" si="0"/>
        <v>error4900</v>
      </c>
      <c r="D7" s="3">
        <v>4900</v>
      </c>
      <c r="E7" s="3" t="s">
        <v>2240</v>
      </c>
      <c r="J7" t="s">
        <v>2555</v>
      </c>
      <c r="K7">
        <v>303</v>
      </c>
      <c r="L7" t="str">
        <f t="shared" si="1"/>
        <v>pointType303</v>
      </c>
      <c r="M7" t="s">
        <v>295</v>
      </c>
    </row>
    <row r="8" ht="19.2" spans="3:13">
      <c r="C8" t="str">
        <f t="shared" si="0"/>
        <v>error4901</v>
      </c>
      <c r="D8" s="3">
        <v>4901</v>
      </c>
      <c r="E8" s="3" t="s">
        <v>2243</v>
      </c>
      <c r="J8" t="s">
        <v>2555</v>
      </c>
      <c r="K8">
        <v>304</v>
      </c>
      <c r="L8" t="str">
        <f t="shared" si="1"/>
        <v>pointType304</v>
      </c>
      <c r="M8" t="s">
        <v>192</v>
      </c>
    </row>
    <row r="9" ht="19.2" spans="3:13">
      <c r="C9" t="str">
        <f t="shared" si="0"/>
        <v>error32700</v>
      </c>
      <c r="D9" s="3">
        <v>32700</v>
      </c>
      <c r="E9" s="3" t="s">
        <v>1411</v>
      </c>
      <c r="J9" t="s">
        <v>2555</v>
      </c>
      <c r="K9">
        <v>305</v>
      </c>
      <c r="L9" t="str">
        <f t="shared" si="1"/>
        <v>pointType305</v>
      </c>
      <c r="M9" t="s">
        <v>1169</v>
      </c>
    </row>
    <row r="10" ht="19.2" spans="3:13">
      <c r="C10" t="str">
        <f t="shared" si="0"/>
        <v>error32600</v>
      </c>
      <c r="D10" s="3">
        <v>32600</v>
      </c>
      <c r="E10" s="3" t="s">
        <v>1366</v>
      </c>
      <c r="J10" t="s">
        <v>2555</v>
      </c>
      <c r="K10">
        <v>306</v>
      </c>
      <c r="L10" t="str">
        <f t="shared" si="1"/>
        <v>pointType306</v>
      </c>
      <c r="M10" t="s">
        <v>121</v>
      </c>
    </row>
    <row r="11" ht="19.2" spans="3:13">
      <c r="C11" t="str">
        <f t="shared" si="0"/>
        <v>error32601</v>
      </c>
      <c r="D11" s="3">
        <v>32601</v>
      </c>
      <c r="E11" s="3" t="s">
        <v>1366</v>
      </c>
      <c r="J11" t="s">
        <v>2555</v>
      </c>
      <c r="K11">
        <v>400</v>
      </c>
      <c r="L11" t="str">
        <f t="shared" si="1"/>
        <v>pointType400</v>
      </c>
      <c r="M11" t="s">
        <v>2387</v>
      </c>
    </row>
    <row r="12" ht="19.2" spans="3:13">
      <c r="C12" t="str">
        <f t="shared" si="0"/>
        <v>error32602</v>
      </c>
      <c r="D12" s="3">
        <v>32602</v>
      </c>
      <c r="E12" s="3" t="s">
        <v>1366</v>
      </c>
      <c r="J12" t="s">
        <v>2555</v>
      </c>
      <c r="K12">
        <v>401</v>
      </c>
      <c r="L12" t="str">
        <f t="shared" si="1"/>
        <v>pointType401</v>
      </c>
      <c r="M12" t="s">
        <v>1175</v>
      </c>
    </row>
    <row r="13" ht="19.2" spans="3:13">
      <c r="C13" t="str">
        <f t="shared" si="0"/>
        <v>error32603</v>
      </c>
      <c r="D13" s="3">
        <v>32603</v>
      </c>
      <c r="E13" s="3" t="s">
        <v>2252</v>
      </c>
      <c r="J13" t="s">
        <v>2555</v>
      </c>
      <c r="K13">
        <v>402</v>
      </c>
      <c r="L13" t="str">
        <f t="shared" si="1"/>
        <v>pointType402</v>
      </c>
      <c r="M13" t="s">
        <v>1178</v>
      </c>
    </row>
    <row r="14" ht="19.2" spans="3:13">
      <c r="C14" t="str">
        <f t="shared" si="0"/>
        <v>error32000</v>
      </c>
      <c r="D14" s="3">
        <v>32000</v>
      </c>
      <c r="E14" s="3" t="s">
        <v>2255</v>
      </c>
      <c r="J14" t="s">
        <v>2555</v>
      </c>
      <c r="K14">
        <v>403</v>
      </c>
      <c r="L14" t="str">
        <f t="shared" si="1"/>
        <v>pointType403</v>
      </c>
      <c r="M14" t="s">
        <v>2393</v>
      </c>
    </row>
    <row r="15" ht="19.2" spans="3:13">
      <c r="C15" t="str">
        <f t="shared" si="0"/>
        <v>error32001</v>
      </c>
      <c r="D15" s="3">
        <v>32001</v>
      </c>
      <c r="E15" s="3" t="s">
        <v>2258</v>
      </c>
      <c r="J15" t="s">
        <v>2555</v>
      </c>
      <c r="K15">
        <v>404</v>
      </c>
      <c r="L15" t="str">
        <f t="shared" si="1"/>
        <v>pointType404</v>
      </c>
      <c r="M15" t="s">
        <v>2395</v>
      </c>
    </row>
    <row r="16" ht="19.2" spans="3:13">
      <c r="C16" t="str">
        <f t="shared" si="0"/>
        <v>error32002</v>
      </c>
      <c r="D16" s="3">
        <v>32002</v>
      </c>
      <c r="E16" s="3" t="s">
        <v>2261</v>
      </c>
      <c r="J16" t="s">
        <v>2555</v>
      </c>
      <c r="K16">
        <v>405</v>
      </c>
      <c r="L16" t="str">
        <f t="shared" si="1"/>
        <v>pointType405</v>
      </c>
      <c r="M16" t="s">
        <v>1185</v>
      </c>
    </row>
    <row r="17" ht="19.2" spans="3:13">
      <c r="C17" t="str">
        <f t="shared" si="0"/>
        <v>error32003</v>
      </c>
      <c r="D17" s="3">
        <v>32003</v>
      </c>
      <c r="E17" s="3" t="s">
        <v>2264</v>
      </c>
      <c r="J17" t="s">
        <v>2555</v>
      </c>
      <c r="K17">
        <v>406</v>
      </c>
      <c r="L17" t="str">
        <f t="shared" si="1"/>
        <v>pointType406</v>
      </c>
      <c r="M17" t="s">
        <v>1188</v>
      </c>
    </row>
    <row r="18" ht="19.2" spans="3:13">
      <c r="C18" t="str">
        <f t="shared" si="0"/>
        <v>error32004</v>
      </c>
      <c r="D18" s="3">
        <v>32004</v>
      </c>
      <c r="E18" s="3" t="s">
        <v>2237</v>
      </c>
      <c r="J18" t="s">
        <v>2555</v>
      </c>
      <c r="K18">
        <v>407</v>
      </c>
      <c r="L18" t="str">
        <f t="shared" si="1"/>
        <v>pointType407</v>
      </c>
      <c r="M18" t="s">
        <v>2400</v>
      </c>
    </row>
    <row r="19" ht="19.2" spans="3:13">
      <c r="C19" t="str">
        <f t="shared" si="0"/>
        <v>error32005</v>
      </c>
      <c r="D19" s="3">
        <v>32005</v>
      </c>
      <c r="E19" s="3" t="s">
        <v>2268</v>
      </c>
      <c r="J19" t="s">
        <v>2555</v>
      </c>
      <c r="K19">
        <v>100</v>
      </c>
      <c r="L19" t="str">
        <f t="shared" si="1"/>
        <v>pointType100</v>
      </c>
      <c r="M19" t="s">
        <v>364</v>
      </c>
    </row>
    <row r="20" spans="10:13">
      <c r="J20" t="s">
        <v>2555</v>
      </c>
      <c r="K20">
        <v>200</v>
      </c>
      <c r="L20" t="str">
        <f t="shared" si="1"/>
        <v>pointType200</v>
      </c>
      <c r="M20" t="s">
        <v>2405</v>
      </c>
    </row>
    <row r="21" spans="10:13">
      <c r="J21" t="s">
        <v>2555</v>
      </c>
      <c r="K21">
        <v>201</v>
      </c>
      <c r="L21" t="str">
        <f t="shared" si="1"/>
        <v>pointType201</v>
      </c>
      <c r="M21" t="s">
        <v>2407</v>
      </c>
    </row>
    <row r="22" spans="10:13">
      <c r="J22" t="s">
        <v>2555</v>
      </c>
      <c r="K22">
        <v>202</v>
      </c>
      <c r="L22" t="str">
        <f t="shared" si="1"/>
        <v>pointType202</v>
      </c>
      <c r="M22" t="s">
        <v>2409</v>
      </c>
    </row>
    <row r="23" spans="10:13">
      <c r="J23" t="s">
        <v>2555</v>
      </c>
      <c r="K23">
        <v>203</v>
      </c>
      <c r="L23" t="str">
        <f t="shared" si="1"/>
        <v>pointType203</v>
      </c>
      <c r="M23" t="s">
        <v>2411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2023-06-06T03:24:21Z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
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多语言!$A$2:$U$337</definedName>
  </definedNames>
  <calcPr calcId="144525"/>
</workbook>
</file>

<file path=xl/sharedStrings.xml><?xml version="1.0" encoding="utf-8"?>
<sst xmlns="http://schemas.openxmlformats.org/spreadsheetml/2006/main" count="1250" uniqueCount="1107">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</sst>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71"/>
  <sheetViews>
    <sheetView tabSelected="1" zoomScale="90" zoomScaleNormal="90" workbookViewId="0">
      <pane ySplit="2" topLeftCell="A351" activePane="bottomLeft" state="frozen"/>
      <selection/>
      <selection pane="bottomLeft" activeCell="H363" sqref="H363"/>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49"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49" si="49">"  """&amp;$B341&amp;""": """&amp;C341&amp;""""&amp;IF(COUNTA($B342)=1,",","")</f>
        <v>  "textConnectSuccess": "连接成功",</v>
      </c>
      <c r="J341" s="11" t="str">
        <f t="shared" ref="J341:J349" si="50">"  """&amp;$B341&amp;""": """&amp;D341&amp;""""&amp;IF(COUNTA($B342)=1,",","")</f>
        <v>  "textConnectSuccess": "Connection succeeded",</v>
      </c>
      <c r="K341" s="11" t="str">
        <f t="shared" ref="K341:K349" si="51">"  """&amp;$B341&amp;""": """&amp;E341&amp;""""&amp;IF(COUNTA($B342)=1,",","")</f>
        <v>  "textConnectSuccess": "",</v>
      </c>
      <c r="L341" s="11" t="str">
        <f t="shared" ref="L341:L349" si="52">"  """&amp;$B341&amp;""": """&amp;F341&amp;""""&amp;IF(COUNTA($B342)=1,",","")</f>
        <v>  "textConnectSuccess": "",</v>
      </c>
      <c r="M341" s="11" t="str">
        <f t="shared" ref="M341:M349"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"""&amp;$B348&amp;""": """&amp;C348&amp;""""&amp;IF(COUNTA($B349)=1,",","")</f>
        <v>  "textFail": "失败",</v>
      </c>
      <c r="J348" s="11" t="str">
        <f>"  """&amp;$B348&amp;""": """&amp;D348&amp;""""&amp;IF(COUNTA($B349)=1,",","")</f>
        <v>  "textFail": "Fail",</v>
      </c>
      <c r="K348" s="11" t="str">
        <f>"  """&amp;$B348&amp;""": """&amp;E348&amp;""""&amp;IF(COUNTA($B349)=1,",","")</f>
        <v>  "textFail": "",</v>
      </c>
      <c r="L348" s="11" t="str">
        <f>"  """&amp;$B348&amp;""": """&amp;F348&amp;""""&amp;IF(COUNTA($B349)=1,",","")</f>
        <v>  "textFail": "",</v>
      </c>
      <c r="M348" s="11" t="str">
        <f>"  """&amp;$B348&amp;""": """&amp;G348&amp;""""&amp;IF(COUNTA($B349)=1,",","")</f>
        <v>  "textFail": "",</v>
      </c>
    </row>
    <row r="349" ht="27.6" spans="1:13">
      <c r="A349" s="23">
        <f t="shared" si="48"/>
        <v>100347</v>
      </c>
      <c r="B349" s="1" t="s">
        <v>989</v>
      </c>
      <c r="C349" s="4" t="s">
        <v>990</v>
      </c>
      <c r="D349" s="8" t="s">
        <v>991</v>
      </c>
      <c r="I349" s="11" t="str">
        <f>"  """&amp;$B349&amp;""": """&amp;C349&amp;""""&amp;IF(COUNTA($B350)=1,",","")</f>
        <v>  "textChooseMintLevel": "请选择铸造等级",</v>
      </c>
      <c r="J349" s="11" t="str">
        <f>"  """&amp;$B349&amp;""": """&amp;D349&amp;""""&amp;IF(COUNTA($B350)=1,",","")</f>
        <v>  "textChooseMintLevel": "Please select the level of minting pen.",</v>
      </c>
      <c r="K349" s="11" t="str">
        <f>"  """&amp;$B349&amp;""": """&amp;E349&amp;""""&amp;IF(COUNTA($B350)=1,",","")</f>
        <v>  "textChooseMintLevel": "",</v>
      </c>
      <c r="L349" s="11" t="str">
        <f>"  """&amp;$B349&amp;""": """&amp;F349&amp;""""&amp;IF(COUNTA($B350)=1,",","")</f>
        <v>  "textChooseMintLevel": "",</v>
      </c>
      <c r="M349" s="11" t="str">
        <f>"  """&amp;$B349&amp;""": """&amp;G349&amp;""""&amp;IF(COUNTA($B350)=1,",","")</f>
        <v>  "textChooseMintLevel": "",</v>
      </c>
    </row>
    <row r="350" spans="1:13">
      <c r="A350" s="23">
        <f>IF(COUNTA(B350)=1,100000+ROW(B350)-2,"")</f>
        <v>100348</v>
      </c>
      <c r="B350" s="1" t="s">
        <v>992</v>
      </c>
      <c r="C350" s="2" t="s">
        <v>993</v>
      </c>
      <c r="D350" s="3" t="s">
        <v>994</v>
      </c>
      <c r="I350" s="11" t="str">
        <f>"  """&amp;$B350&amp;""": """&amp;C350&amp;""""&amp;IF(COUNTA($B351)=1,",","")</f>
        <v>  "textUpgradingPen": "正在升级笔...",</v>
      </c>
      <c r="J350" s="11" t="str">
        <f>"  """&amp;$B350&amp;""": """&amp;D350&amp;""""&amp;IF(COUNTA($B351)=1,",","")</f>
        <v>  "textUpgradingPen": "Upgrading pen...",</v>
      </c>
      <c r="K350" s="11" t="str">
        <f>"  """&amp;$B350&amp;""": """&amp;E350&amp;""""&amp;IF(COUNTA($B351)=1,",","")</f>
        <v>  "textUpgradingPen": "",</v>
      </c>
      <c r="L350" s="11" t="str">
        <f>"  """&amp;$B350&amp;""": """&amp;F350&amp;""""&amp;IF(COUNTA($B351)=1,",","")</f>
        <v>  "textUpgradingPen": "",</v>
      </c>
      <c r="M350" s="11" t="str">
        <f>"  """&amp;$B350&amp;""": """&amp;G350&amp;""""&amp;IF(COUNTA($B351)=1,",","")</f>
        <v>  "textUpgradingPen": "",</v>
      </c>
    </row>
    <row r="351" ht="82.8" spans="1:13">
      <c r="A351" s="23">
        <f>IF(COUNTA(B351)=1,100000+ROW(B351)-2,"")</f>
        <v>100349</v>
      </c>
      <c r="B351" s="1" t="s">
        <v>995</v>
      </c>
      <c r="C351" s="2" t="s">
        <v>591</v>
      </c>
      <c r="D351" s="3" t="s">
        <v>996</v>
      </c>
      <c r="I351" s="11" t="str">
        <f t="shared" ref="I351:I361" si="54">"  """&amp;$B351&amp;""": """&amp;C351&amp;""""&amp;IF(COUNTA($B352)=1,",","")</f>
        <v>  "textUpgradingPenDescription": "铸造笔需要一段时间，铸造成功后可继续操作，建议您等待",</v>
      </c>
      <c r="J351" s="11" t="str">
        <f t="shared" ref="J351:J361" si="55">"  """&amp;$B351&amp;""": """&amp;D351&amp;""""&amp;IF(COUNTA($B352)=1,",","")</f>
        <v>  "textUpgradingPenDescription": "It will take a while to upgrade the pen. After the upgrade is successful, you can continue to operate. It is recommended that you wait",</v>
      </c>
      <c r="K351" s="11" t="str">
        <f t="shared" ref="K351:K361" si="56">"  """&amp;$B351&amp;""": """&amp;E351&amp;""""&amp;IF(COUNTA($B352)=1,",","")</f>
        <v>  "textUpgradingPenDescription": "",</v>
      </c>
      <c r="L351" s="11" t="str">
        <f t="shared" ref="L351:L361" si="57">"  """&amp;$B351&amp;""": """&amp;F351&amp;""""&amp;IF(COUNTA($B352)=1,",","")</f>
        <v>  "textUpgradingPenDescription": "",</v>
      </c>
      <c r="M351" s="11" t="str">
        <f t="shared" ref="M351:M361" si="58">"  """&amp;$B351&amp;""": """&amp;G351&amp;""""&amp;IF(COUNTA($B352)=1,",","")</f>
        <v>  "textUpgradingPenDescription": "",</v>
      </c>
    </row>
    <row r="352" spans="1:13">
      <c r="A352" s="23">
        <f t="shared" ref="A352:A370" si="59">IF(COUNTA(B352)=1,100000+ROW(B352)-2,"")</f>
        <v>100350</v>
      </c>
      <c r="B352" s="1" t="s">
        <v>997</v>
      </c>
      <c r="C352" s="4" t="s">
        <v>998</v>
      </c>
      <c r="D352" s="8" t="s">
        <v>353</v>
      </c>
      <c r="I352" s="11" t="str">
        <f t="shared" si="54"/>
        <v>  "textAccountBalance": "账户余额",</v>
      </c>
      <c r="J352" s="11" t="str">
        <f t="shared" si="55"/>
        <v>  "textAccountBalance": "Balance",</v>
      </c>
      <c r="K352" s="11" t="str">
        <f t="shared" si="56"/>
        <v>  "textAccountBalance": "",</v>
      </c>
      <c r="L352" s="11" t="str">
        <f t="shared" si="57"/>
        <v>  "textAccountBalance": "",</v>
      </c>
      <c r="M352" s="11" t="str">
        <f t="shared" si="58"/>
        <v>  "textAccountBalance": "",</v>
      </c>
    </row>
    <row r="353" ht="27.6" spans="1:13">
      <c r="A353" s="23">
        <f t="shared" si="59"/>
        <v>100351</v>
      </c>
      <c r="B353" s="1" t="s">
        <v>999</v>
      </c>
      <c r="C353" s="4" t="s">
        <v>1000</v>
      </c>
      <c r="D353" s="8" t="s">
        <v>1001</v>
      </c>
      <c r="I353" s="11" t="str">
        <f t="shared" si="54"/>
        <v>  "textEnterAnotherAmount": "请输入其他数量",</v>
      </c>
      <c r="J353" s="11" t="str">
        <f t="shared" si="55"/>
        <v>  "textEnterAnotherAmount": "Please enter another amount",</v>
      </c>
      <c r="K353" s="11" t="str">
        <f t="shared" si="56"/>
        <v>  "textEnterAnotherAmount": "",</v>
      </c>
      <c r="L353" s="11" t="str">
        <f t="shared" si="57"/>
        <v>  "textEnterAnotherAmount": "",</v>
      </c>
      <c r="M353" s="11" t="str">
        <f t="shared" si="58"/>
        <v>  "textEnterAnotherAmount": "",</v>
      </c>
    </row>
    <row r="354" spans="1:13">
      <c r="A354" s="23">
        <f t="shared" si="59"/>
        <v>100352</v>
      </c>
      <c r="B354" s="1" t="s">
        <v>1002</v>
      </c>
      <c r="C354" s="4" t="s">
        <v>1003</v>
      </c>
      <c r="D354" s="8" t="s">
        <v>1004</v>
      </c>
      <c r="I354" s="11" t="str">
        <f t="shared" si="54"/>
        <v>  "btnConfirmInject": "确定注入",</v>
      </c>
      <c r="J354" s="11" t="str">
        <f t="shared" si="55"/>
        <v>  "btnConfirmInject": "Confirm to inject",</v>
      </c>
      <c r="K354" s="11" t="str">
        <f t="shared" si="56"/>
        <v>  "btnConfirmInject": "",</v>
      </c>
      <c r="L354" s="11" t="str">
        <f t="shared" si="57"/>
        <v>  "btnConfirmInject": "",</v>
      </c>
      <c r="M354" s="11" t="str">
        <f t="shared" si="58"/>
        <v>  "btnConfirmInject": "",</v>
      </c>
    </row>
    <row r="355" ht="41.4" spans="1:13">
      <c r="A355" s="23">
        <f t="shared" si="59"/>
        <v>100353</v>
      </c>
      <c r="B355" s="1" t="s">
        <v>1005</v>
      </c>
      <c r="C355" s="4" t="s">
        <v>1006</v>
      </c>
      <c r="D355" s="8" t="s">
        <v>1007</v>
      </c>
      <c r="I355" s="11" t="str">
        <f t="shared" si="54"/>
        <v>  "textTradePointSuccess": "已成功交易{value1}积分，当前余额{value2}积分",</v>
      </c>
      <c r="J355" s="11" t="str">
        <f t="shared" si="55"/>
        <v>  "textTradePointSuccess": "Successfully traded {value1} points, current balance {value2} points",</v>
      </c>
      <c r="K355" s="11" t="str">
        <f t="shared" si="56"/>
        <v>  "textTradePointSuccess": "",</v>
      </c>
      <c r="L355" s="11" t="str">
        <f t="shared" si="57"/>
        <v>  "textTradePointSuccess": "",</v>
      </c>
      <c r="M355" s="11" t="str">
        <f t="shared" si="58"/>
        <v>  "textTradePointSuccess": "",</v>
      </c>
    </row>
    <row r="356" spans="1:13">
      <c r="A356" s="23">
        <f t="shared" si="59"/>
        <v>100354</v>
      </c>
      <c r="B356" s="1" t="s">
        <v>1008</v>
      </c>
      <c r="C356" s="4" t="s">
        <v>1009</v>
      </c>
      <c r="D356" s="8" t="s">
        <v>1010</v>
      </c>
      <c r="I356" s="11" t="str">
        <f t="shared" si="54"/>
        <v>  "textBuyingPoint": "积分购买中",</v>
      </c>
      <c r="J356" s="11" t="str">
        <f t="shared" si="55"/>
        <v>  "textBuyingPoint": "Points are being purchased",</v>
      </c>
      <c r="K356" s="11" t="str">
        <f t="shared" si="56"/>
        <v>  "textBuyingPoint": "",</v>
      </c>
      <c r="L356" s="11" t="str">
        <f t="shared" si="57"/>
        <v>  "textBuyingPoint": "",</v>
      </c>
      <c r="M356" s="11" t="str">
        <f t="shared" si="58"/>
        <v>  "textBuyingPoint": "",</v>
      </c>
    </row>
    <row r="357" spans="1:13">
      <c r="A357" s="23">
        <f t="shared" si="59"/>
        <v>100355</v>
      </c>
      <c r="B357" s="1" t="s">
        <v>1011</v>
      </c>
      <c r="C357" s="4" t="s">
        <v>1012</v>
      </c>
      <c r="D357" s="8" t="s">
        <v>1013</v>
      </c>
      <c r="I357" s="11" t="str">
        <f t="shared" si="54"/>
        <v>  "textWithdrawingPoint": "积分兑换中",</v>
      </c>
      <c r="J357" s="11" t="str">
        <f t="shared" si="55"/>
        <v>  "textWithdrawingPoint": "Redeeming points",</v>
      </c>
      <c r="K357" s="11" t="str">
        <f t="shared" si="56"/>
        <v>  "textWithdrawingPoint": "",</v>
      </c>
      <c r="L357" s="11" t="str">
        <f t="shared" si="57"/>
        <v>  "textWithdrawingPoint": "",</v>
      </c>
      <c r="M357" s="11" t="str">
        <f t="shared" si="58"/>
        <v>  "textWithdrawingPoint": "",</v>
      </c>
    </row>
    <row r="358" ht="96.6" spans="1:13">
      <c r="A358" s="23">
        <f t="shared" si="59"/>
        <v>100356</v>
      </c>
      <c r="B358" s="1" t="s">
        <v>1014</v>
      </c>
      <c r="C358" s="4" t="s">
        <v>1015</v>
      </c>
      <c r="D358" s="8" t="s">
        <v>1016</v>
      </c>
      <c r="I358" s="11" t="str">
        <f t="shared" si="54"/>
        <v>  "textBuyingPointDescription": "积分购买需要一段时间，购买成功后可继续操作，建议您等待",</v>
      </c>
      <c r="J358" s="11" t="str">
        <f t="shared" si="55"/>
        <v>  "textBuyingPointDescription": "It will take a while to purchase credits, and you can continue to operate after the purchase is successful. It is recommended that you wait",</v>
      </c>
      <c r="K358" s="11" t="str">
        <f t="shared" si="56"/>
        <v>  "textBuyingPointDescription": "",</v>
      </c>
      <c r="L358" s="11" t="str">
        <f t="shared" si="57"/>
        <v>  "textBuyingPointDescription": "",</v>
      </c>
      <c r="M358" s="11" t="str">
        <f t="shared" si="58"/>
        <v>  "textBuyingPointDescription": "",</v>
      </c>
    </row>
    <row r="359" ht="82.8" spans="1:13">
      <c r="A359" s="23">
        <f t="shared" si="59"/>
        <v>100357</v>
      </c>
      <c r="B359" s="1" t="s">
        <v>1017</v>
      </c>
      <c r="C359" s="4" t="s">
        <v>1018</v>
      </c>
      <c r="D359" s="8" t="s">
        <v>1019</v>
      </c>
      <c r="I359" s="11" t="str">
        <f t="shared" si="54"/>
        <v>  "textWithdrawingPointDescription": "积分兑换需要一段时间，兑换成功后可继续操作，建议您等待",</v>
      </c>
      <c r="J359" s="11" t="str">
        <f t="shared" si="55"/>
        <v>  "textWithdrawingPointDescription": "Points redemption will take a while. After the redemption is successful, you can continue to operate. It is recommended that you wait",</v>
      </c>
      <c r="K359" s="11" t="str">
        <f t="shared" si="56"/>
        <v>  "textWithdrawingPointDescription": "",</v>
      </c>
      <c r="L359" s="11" t="str">
        <f t="shared" si="57"/>
        <v>  "textWithdrawingPointDescription": "",</v>
      </c>
      <c r="M359" s="11" t="str">
        <f t="shared" si="58"/>
        <v>  "textWithdrawingPointDescription": "",</v>
      </c>
    </row>
    <row r="360" ht="27.6" spans="1:13">
      <c r="A360" s="23">
        <f t="shared" si="59"/>
        <v>100358</v>
      </c>
      <c r="B360" s="1" t="s">
        <v>1020</v>
      </c>
      <c r="C360" s="4" t="s">
        <v>1021</v>
      </c>
      <c r="D360" s="8" t="s">
        <v>1022</v>
      </c>
      <c r="I360" s="11" t="str">
        <f t="shared" ref="I360:I370" si="60">"  """&amp;$B360&amp;""": """&amp;C360&amp;""""&amp;IF(COUNTA($B361)=1,",","")</f>
        <v>  "textSelectEnterAmount": "请选择或输入购买数量",</v>
      </c>
      <c r="J360" s="11" t="str">
        <f t="shared" ref="J360:J370" si="61">"  """&amp;$B360&amp;""": """&amp;D360&amp;""""&amp;IF(COUNTA($B361)=1,",","")</f>
        <v>  "textSelectEnterAmount": "Please select or enter the purchase amount",</v>
      </c>
      <c r="K360" s="11" t="str">
        <f t="shared" ref="K360:K370" si="62">"  """&amp;$B360&amp;""": """&amp;E360&amp;""""&amp;IF(COUNTA($B361)=1,",","")</f>
        <v>  "textSelectEnterAmount": "",</v>
      </c>
      <c r="L360" s="11" t="str">
        <f t="shared" ref="L360:L370" si="63">"  """&amp;$B360&amp;""": """&amp;F360&amp;""""&amp;IF(COUNTA($B361)=1,",","")</f>
        <v>  "textSelectEnterAmount": "",</v>
      </c>
      <c r="M360" s="11" t="str">
        <f t="shared" ref="M360:M370" si="64">"  """&amp;$B360&amp;""": """&amp;G360&amp;""""&amp;IF(COUNTA($B361)=1,",","")</f>
        <v>  "textSelectEnterAmount": "",</v>
      </c>
    </row>
    <row r="361" spans="1:13">
      <c r="A361" s="23">
        <f t="shared" si="59"/>
        <v>100359</v>
      </c>
      <c r="B361" s="1" t="s">
        <v>1023</v>
      </c>
      <c r="C361" s="4" t="s">
        <v>1024</v>
      </c>
      <c r="D361" s="8" t="s">
        <v>1025</v>
      </c>
      <c r="I361" s="11" t="str">
        <f t="shared" si="60"/>
        <v>  "textEnterWithdrawAmount": "输入兑换数量",</v>
      </c>
      <c r="J361" s="11" t="str">
        <f t="shared" si="61"/>
        <v>  "textEnterWithdrawAmount": "Enter the withdraw amount",</v>
      </c>
      <c r="K361" s="11" t="str">
        <f t="shared" si="62"/>
        <v>  "textEnterWithdrawAmount": "",</v>
      </c>
      <c r="L361" s="11" t="str">
        <f t="shared" si="63"/>
        <v>  "textEnterWithdrawAmount": "",</v>
      </c>
      <c r="M361" s="11" t="str">
        <f t="shared" si="64"/>
        <v>  "textEnterWithdrawAmount": "",</v>
      </c>
    </row>
    <row r="362" spans="1:13">
      <c r="A362" s="23">
        <f t="shared" si="59"/>
        <v>100360</v>
      </c>
      <c r="B362" s="1" t="s">
        <v>1026</v>
      </c>
      <c r="C362" s="4" t="s">
        <v>1027</v>
      </c>
      <c r="D362" s="8" t="s">
        <v>1028</v>
      </c>
      <c r="I362" s="11" t="str">
        <f t="shared" si="60"/>
        <v>  "btnDisconnectWallet": "断开钱包",</v>
      </c>
      <c r="J362" s="11" t="str">
        <f t="shared" si="61"/>
        <v>  "btnDisconnectWallet": "Disconnect wallet",</v>
      </c>
      <c r="K362" s="11" t="str">
        <f t="shared" si="62"/>
        <v>  "btnDisconnectWallet": "",</v>
      </c>
      <c r="L362" s="11" t="str">
        <f t="shared" si="63"/>
        <v>  "btnDisconnectWallet": "",</v>
      </c>
      <c r="M362" s="11" t="str">
        <f t="shared" si="64"/>
        <v>  "btnDisconnectWallet": "",</v>
      </c>
    </row>
    <row r="363" spans="1:13">
      <c r="A363" s="23">
        <f t="shared" si="59"/>
        <v>100361</v>
      </c>
      <c r="B363" s="1" t="s">
        <v>1029</v>
      </c>
      <c r="C363" s="4" t="s">
        <v>1030</v>
      </c>
      <c r="D363" s="8" t="s">
        <v>1031</v>
      </c>
      <c r="I363" s="11" t="str">
        <f t="shared" si="60"/>
        <v>  "textCopySuccess": "复制成功",</v>
      </c>
      <c r="J363" s="11" t="str">
        <f t="shared" si="61"/>
        <v>  "textCopySuccess": "Copy successfully",</v>
      </c>
      <c r="K363" s="11" t="str">
        <f t="shared" si="62"/>
        <v>  "textCopySuccess": "",</v>
      </c>
      <c r="L363" s="11" t="str">
        <f t="shared" si="63"/>
        <v>  "textCopySuccess": "",</v>
      </c>
      <c r="M363" s="11" t="str">
        <f t="shared" si="64"/>
        <v>  "textCopySuccess": "",</v>
      </c>
    </row>
    <row r="364" spans="1:13">
      <c r="A364" s="23">
        <f t="shared" si="59"/>
        <v>100362</v>
      </c>
      <c r="B364" s="1" t="s">
        <v>1032</v>
      </c>
      <c r="C364" s="4" t="s">
        <v>1033</v>
      </c>
      <c r="D364" s="8" t="s">
        <v>1034</v>
      </c>
      <c r="I364" s="11" t="str">
        <f t="shared" si="60"/>
        <v>  "textCopyFailed": "复制失败",</v>
      </c>
      <c r="J364" s="11" t="str">
        <f t="shared" si="61"/>
        <v>  "textCopyFailed": "Copy failed",</v>
      </c>
      <c r="K364" s="11" t="str">
        <f t="shared" si="62"/>
        <v>  "textCopyFailed": "",</v>
      </c>
      <c r="L364" s="11" t="str">
        <f t="shared" si="63"/>
        <v>  "textCopyFailed": "",</v>
      </c>
      <c r="M364" s="11" t="str">
        <f t="shared" si="64"/>
        <v>  "textCopyFailed": "",</v>
      </c>
    </row>
    <row r="365" spans="1:13">
      <c r="A365" s="23">
        <f t="shared" si="59"/>
        <v>100363</v>
      </c>
      <c r="B365" s="1" t="s">
        <v>1035</v>
      </c>
      <c r="C365" s="4" t="s">
        <v>1036</v>
      </c>
      <c r="D365" s="8" t="s">
        <v>895</v>
      </c>
      <c r="I365" s="11" t="str">
        <f t="shared" si="60"/>
        <v>  "btnConnectWalletSocrates": "连接钱包到Socrates",</v>
      </c>
      <c r="J365" s="11" t="str">
        <f t="shared" si="61"/>
        <v>  "btnConnectWalletSocrates": "Connect wallet to Socrates",</v>
      </c>
      <c r="K365" s="11" t="str">
        <f t="shared" si="62"/>
        <v>  "btnConnectWalletSocrates": "",</v>
      </c>
      <c r="L365" s="11" t="str">
        <f t="shared" si="63"/>
        <v>  "btnConnectWalletSocrates": "",</v>
      </c>
      <c r="M365" s="11" t="str">
        <f t="shared" si="64"/>
        <v>  "btnConnectWalletSocrates": "",</v>
      </c>
    </row>
    <row r="366" spans="1:13">
      <c r="A366" s="23">
        <f t="shared" si="59"/>
        <v>100364</v>
      </c>
      <c r="B366" s="1" t="s">
        <v>1037</v>
      </c>
      <c r="C366" s="4" t="s">
        <v>1038</v>
      </c>
      <c r="D366" s="8" t="s">
        <v>1039</v>
      </c>
      <c r="I366" s="11" t="str">
        <f t="shared" si="60"/>
        <v>  "textToken": "代币",</v>
      </c>
      <c r="J366" s="11" t="str">
        <f t="shared" si="61"/>
        <v>  "textToken": "Token",</v>
      </c>
      <c r="K366" s="11" t="str">
        <f t="shared" si="62"/>
        <v>  "textToken": "",</v>
      </c>
      <c r="L366" s="11" t="str">
        <f t="shared" si="63"/>
        <v>  "textToken": "",</v>
      </c>
      <c r="M366" s="11" t="str">
        <f t="shared" si="64"/>
        <v>  "textToken": "",</v>
      </c>
    </row>
    <row r="367" spans="1:13">
      <c r="A367" s="23">
        <f t="shared" si="59"/>
        <v>100365</v>
      </c>
      <c r="B367" s="1" t="s">
        <v>1040</v>
      </c>
      <c r="C367" s="4" t="s">
        <v>1041</v>
      </c>
      <c r="D367" s="8" t="s">
        <v>1042</v>
      </c>
      <c r="I367" s="11" t="str">
        <f t="shared" si="60"/>
        <v>  "tagPointDetail": "积分明细",</v>
      </c>
      <c r="J367" s="11" t="str">
        <f t="shared" si="61"/>
        <v>  "tagPointDetail": "Points Details",</v>
      </c>
      <c r="K367" s="11" t="str">
        <f t="shared" si="62"/>
        <v>  "tagPointDetail": "",</v>
      </c>
      <c r="L367" s="11" t="str">
        <f t="shared" si="63"/>
        <v>  "tagPointDetail": "",</v>
      </c>
      <c r="M367" s="11" t="str">
        <f t="shared" si="64"/>
        <v>  "tagPointDetail": "",</v>
      </c>
    </row>
    <row r="368" spans="1:13">
      <c r="A368" s="23">
        <f t="shared" si="59"/>
        <v>100366</v>
      </c>
      <c r="B368" s="1" t="s">
        <v>1043</v>
      </c>
      <c r="C368" s="4" t="s">
        <v>1044</v>
      </c>
      <c r="D368" s="8" t="s">
        <v>1045</v>
      </c>
      <c r="I368" s="11" t="str">
        <f t="shared" si="60"/>
        <v>  "textAssets": "资产",</v>
      </c>
      <c r="J368" s="11" t="str">
        <f t="shared" si="61"/>
        <v>  "textAssets": "Assets",</v>
      </c>
      <c r="K368" s="11" t="str">
        <f t="shared" si="62"/>
        <v>  "textAssets": "",</v>
      </c>
      <c r="L368" s="11" t="str">
        <f t="shared" si="63"/>
        <v>  "textAssets": "",</v>
      </c>
      <c r="M368" s="11" t="str">
        <f t="shared" si="64"/>
        <v>  "textAssets": "",</v>
      </c>
    </row>
    <row r="369" spans="1:13">
      <c r="A369" s="23">
        <f t="shared" si="59"/>
        <v>100367</v>
      </c>
      <c r="B369" s="1" t="s">
        <v>1046</v>
      </c>
      <c r="C369" s="4" t="s">
        <v>1047</v>
      </c>
      <c r="D369" s="8" t="s">
        <v>1048</v>
      </c>
      <c r="I369" s="11" t="str">
        <f t="shared" si="60"/>
        <v>  "textPrice": "价格",</v>
      </c>
      <c r="J369" s="11" t="str">
        <f t="shared" si="61"/>
        <v>  "textPrice": "Price",</v>
      </c>
      <c r="K369" s="11" t="str">
        <f t="shared" si="62"/>
        <v>  "textPrice": "",</v>
      </c>
      <c r="L369" s="11" t="str">
        <f t="shared" si="63"/>
        <v>  "textPrice": "",</v>
      </c>
      <c r="M369" s="11" t="str">
        <f t="shared" si="64"/>
        <v>  "textPrice": "",</v>
      </c>
    </row>
    <row r="370" spans="1:13">
      <c r="A370" s="23">
        <f t="shared" si="59"/>
        <v>100368</v>
      </c>
      <c r="B370" s="1" t="s">
        <v>1049</v>
      </c>
      <c r="C370" s="4" t="s">
        <v>1050</v>
      </c>
      <c r="D370" s="8" t="s">
        <v>1051</v>
      </c>
      <c r="I370" s="11" t="str">
        <f t="shared" si="60"/>
        <v>  "textValue": "价值"</v>
      </c>
      <c r="J370" s="11" t="str">
        <f t="shared" si="61"/>
        <v>  "textValue": "Value"</v>
      </c>
      <c r="K370" s="11" t="str">
        <f t="shared" si="62"/>
        <v>  "textValue": ""</v>
      </c>
      <c r="L370" s="11" t="str">
        <f t="shared" si="63"/>
        <v>  "textValue": ""</v>
      </c>
      <c r="M370" s="11" t="str">
        <f t="shared" si="64"/>
        <v>  "textValue": ""</v>
      </c>
    </row>
    <row r="371" spans="9:13">
      <c r="I371" s="11" t="s">
        <v>1052</v>
      </c>
      <c r="J371" s="11" t="s">
        <v>1052</v>
      </c>
      <c r="K371" s="11" t="s">
        <v>1052</v>
      </c>
      <c r="L371" s="11" t="s">
        <v>1052</v>
      </c>
      <c r="M371" s="11" t="s">
        <v>1052</v>
      </c>
    </row>
  </sheetData>
  <autoFilter ref="A2:U337">
    <sortState ref="A2:U337">
      <sortCondition ref="G2" descending="1"/>
    </sortState>
    <extLst/>
  </autoFilter>
  <conditionalFormatting sqref="B11">
    <cfRule type="duplicateValues" dxfId="0" priority="62"/>
  </conditionalFormatting>
  <conditionalFormatting sqref="B71">
    <cfRule type="duplicateValues" dxfId="0" priority="61"/>
  </conditionalFormatting>
  <conditionalFormatting sqref="C124">
    <cfRule type="containsText" dxfId="1" priority="59" operator="between" text="{">
      <formula>NOT(ISERROR(SEARCH("{",C124)))</formula>
    </cfRule>
  </conditionalFormatting>
  <conditionalFormatting sqref="C125">
    <cfRule type="containsText" dxfId="1" priority="58" operator="between" text="{">
      <formula>NOT(ISERROR(SEARCH("{",C125)))</formula>
    </cfRule>
  </conditionalFormatting>
  <conditionalFormatting sqref="C128">
    <cfRule type="containsText" dxfId="1" priority="57" operator="between" text="{">
      <formula>NOT(ISERROR(SEARCH("{",C128)))</formula>
    </cfRule>
  </conditionalFormatting>
  <conditionalFormatting sqref="D150">
    <cfRule type="containsText" dxfId="1" priority="53" operator="between" text="{">
      <formula>NOT(ISERROR(SEARCH("{",D150)))</formula>
    </cfRule>
  </conditionalFormatting>
  <conditionalFormatting sqref="D158">
    <cfRule type="duplicateValues" dxfId="0" priority="52"/>
    <cfRule type="duplicateValues" dxfId="0" priority="51"/>
  </conditionalFormatting>
  <conditionalFormatting sqref="D199">
    <cfRule type="containsText" dxfId="1" priority="50" operator="between" text="{">
      <formula>NOT(ISERROR(SEARCH("{",D199)))</formula>
    </cfRule>
  </conditionalFormatting>
  <conditionalFormatting sqref="C200">
    <cfRule type="containsText" dxfId="1" priority="49" operator="between" text="{">
      <formula>NOT(ISERROR(SEARCH("{",C200)))</formula>
    </cfRule>
  </conditionalFormatting>
  <conditionalFormatting sqref="D200">
    <cfRule type="containsText" dxfId="1" priority="48" operator="between" text="{">
      <formula>NOT(ISERROR(SEARCH("{",D200)))</formula>
    </cfRule>
  </conditionalFormatting>
  <conditionalFormatting sqref="D201">
    <cfRule type="containsText" dxfId="1" priority="47" operator="between" text="{">
      <formula>NOT(ISERROR(SEARCH("{",D201)))</formula>
    </cfRule>
  </conditionalFormatting>
  <conditionalFormatting sqref="C203">
    <cfRule type="containsText" dxfId="1" priority="46" operator="between" text="{">
      <formula>NOT(ISERROR(SEARCH("{",C203)))</formula>
    </cfRule>
  </conditionalFormatting>
  <conditionalFormatting sqref="C204">
    <cfRule type="containsText" dxfId="1" priority="44" operator="between" text="{">
      <formula>NOT(ISERROR(SEARCH("{",C204)))</formula>
    </cfRule>
  </conditionalFormatting>
  <conditionalFormatting sqref="C205">
    <cfRule type="containsText" dxfId="1" priority="45" operator="between" text="{">
      <formula>NOT(ISERROR(SEARCH("{",C205)))</formula>
    </cfRule>
  </conditionalFormatting>
  <conditionalFormatting sqref="B253">
    <cfRule type="duplicateValues" dxfId="0" priority="41"/>
    <cfRule type="duplicateValues" dxfId="0" priority="43"/>
  </conditionalFormatting>
  <conditionalFormatting sqref="C253">
    <cfRule type="containsText" dxfId="1" priority="42" operator="between" text="{">
      <formula>NOT(ISERROR(SEARCH("{",C253)))</formula>
    </cfRule>
  </conditionalFormatting>
  <conditionalFormatting sqref="B254">
    <cfRule type="duplicateValues" dxfId="0" priority="39"/>
    <cfRule type="duplicateValues" dxfId="0" priority="40"/>
  </conditionalFormatting>
  <conditionalFormatting sqref="D278">
    <cfRule type="containsText" dxfId="1" priority="38" operator="between" text="{">
      <formula>NOT(ISERROR(SEARCH("{",D278)))</formula>
    </cfRule>
  </conditionalFormatting>
  <conditionalFormatting sqref="D282">
    <cfRule type="containsText" dxfId="1" priority="37" operator="between" text="{">
      <formula>NOT(ISERROR(SEARCH("{",D282)))</formula>
    </cfRule>
  </conditionalFormatting>
  <conditionalFormatting sqref="D294">
    <cfRule type="containsText" dxfId="1" priority="36" operator="between" text="{">
      <formula>NOT(ISERROR(SEARCH("{",D294)))</formula>
    </cfRule>
  </conditionalFormatting>
  <conditionalFormatting sqref="D301">
    <cfRule type="containsText" dxfId="1" priority="33" operator="between" text="{">
      <formula>NOT(ISERROR(SEARCH("{",D301)))</formula>
    </cfRule>
  </conditionalFormatting>
  <conditionalFormatting sqref="D302">
    <cfRule type="containsText" dxfId="1" priority="34" operator="between" text="{">
      <formula>NOT(ISERROR(SEARCH("{",D302)))</formula>
    </cfRule>
  </conditionalFormatting>
  <conditionalFormatting sqref="B306">
    <cfRule type="duplicateValues" dxfId="0" priority="31"/>
    <cfRule type="duplicateValues" dxfId="0" priority="30"/>
  </conditionalFormatting>
  <conditionalFormatting sqref="D306">
    <cfRule type="duplicateValues" dxfId="0" priority="29"/>
    <cfRule type="duplicateValues" dxfId="0" priority="28"/>
  </conditionalFormatting>
  <conditionalFormatting sqref="D307">
    <cfRule type="containsText" dxfId="1" priority="27" operator="between" text="{">
      <formula>NOT(ISERROR(SEARCH("{",D307)))</formula>
    </cfRule>
  </conditionalFormatting>
  <conditionalFormatting sqref="B311">
    <cfRule type="duplicateValues" dxfId="0" priority="23"/>
    <cfRule type="duplicateValues" dxfId="0" priority="21"/>
  </conditionalFormatting>
  <conditionalFormatting sqref="C311">
    <cfRule type="containsText" dxfId="1" priority="22" operator="between" text="{">
      <formula>NOT(ISERROR(SEARCH("{",C311)))</formula>
    </cfRule>
  </conditionalFormatting>
  <conditionalFormatting sqref="C312">
    <cfRule type="containsText" dxfId="1" priority="20" operator="between" text="{">
      <formula>NOT(ISERROR(SEARCH("{",C312)))</formula>
    </cfRule>
  </conditionalFormatting>
  <conditionalFormatting sqref="D315">
    <cfRule type="duplicateValues" dxfId="0" priority="18"/>
    <cfRule type="duplicateValues" dxfId="0" priority="17"/>
  </conditionalFormatting>
  <conditionalFormatting sqref="C316">
    <cfRule type="containsText" dxfId="1" priority="16" operator="between" text="{">
      <formula>NOT(ISERROR(SEARCH("{",C316)))</formula>
    </cfRule>
  </conditionalFormatting>
  <conditionalFormatting sqref="B317">
    <cfRule type="duplicateValues" dxfId="0" priority="15"/>
    <cfRule type="duplicateValues" dxfId="0" priority="14"/>
  </conditionalFormatting>
  <conditionalFormatting sqref="C317">
    <cfRule type="containsText" dxfId="1" priority="13" operator="between" text="{">
      <formula>NOT(ISERROR(SEARCH("{",C317)))</formula>
    </cfRule>
  </conditionalFormatting>
  <conditionalFormatting sqref="D318">
    <cfRule type="duplicateValues" dxfId="0" priority="9"/>
    <cfRule type="duplicateValues" dxfId="0" priority="8"/>
  </conditionalFormatting>
  <conditionalFormatting sqref="B332">
    <cfRule type="duplicateValues" dxfId="0" priority="7"/>
  </conditionalFormatting>
  <conditionalFormatting sqref="B335">
    <cfRule type="duplicateValues" dxfId="0" priority="6"/>
    <cfRule type="duplicateValues" dxfId="0" priority="4"/>
  </conditionalFormatting>
  <conditionalFormatting sqref="C335">
    <cfRule type="containsText" dxfId="1" priority="5" operator="between" text="{">
      <formula>NOT(ISERROR(SEARCH("{",C335)))</formula>
    </cfRule>
  </conditionalFormatting>
  <conditionalFormatting sqref="B131:B132">
    <cfRule type="duplicateValues" dxfId="0" priority="56"/>
  </conditionalFormatting>
  <conditionalFormatting sqref="B309:B310">
    <cfRule type="duplicateValues" dxfId="0" priority="26"/>
    <cfRule type="duplicateValues" dxfId="0" priority="24"/>
  </conditionalFormatting>
  <conditionalFormatting sqref="B318:B319">
    <cfRule type="duplicateValues" dxfId="0" priority="12"/>
    <cfRule type="duplicateValues" dxfId="0" priority="10"/>
  </conditionalFormatting>
  <conditionalFormatting sqref="B350:B351">
    <cfRule type="duplicateValues" dxfId="0" priority="3"/>
    <cfRule type="duplicateValues" dxfId="0" priority="1"/>
  </conditionalFormatting>
  <conditionalFormatting sqref="C131:C132">
    <cfRule type="containsText" dxfId="1" priority="55" operator="between" text="{">
      <formula>NOT(ISERROR(SEARCH("{",C131)))</formula>
    </cfRule>
  </conditionalFormatting>
  <conditionalFormatting sqref="C309:C310">
    <cfRule type="containsText" dxfId="1" priority="25" operator="between" text="{">
      <formula>NOT(ISERROR(SEARCH("{",C309)))</formula>
    </cfRule>
  </conditionalFormatting>
  <conditionalFormatting sqref="C314:C315">
    <cfRule type="containsText" dxfId="1" priority="19" operator="between" text="{">
      <formula>NOT(ISERROR(SEARCH("{",C314)))</formula>
    </cfRule>
  </conditionalFormatting>
  <conditionalFormatting sqref="C318:C319">
    <cfRule type="containsText" dxfId="1" priority="11" operator="between" text="{">
      <formula>NOT(ISERROR(SEARCH("{",C318)))</formula>
    </cfRule>
  </conditionalFormatting>
  <conditionalFormatting sqref="C350:C351">
    <cfRule type="containsText" dxfId="1" priority="2" operator="between" text="{">
      <formula>NOT(ISERROR(SEARCH("{",C350)))</formula>
    </cfRule>
  </conditionalFormatting>
  <conditionalFormatting sqref="D298:D300">
    <cfRule type="containsText" dxfId="1" priority="35" operator="between" text="{">
      <formula>NOT(ISERROR(SEARCH("{",D298)))</formula>
    </cfRule>
  </conditionalFormatting>
  <conditionalFormatting sqref="B1:B252 B255:B305 B307:B308 B312:B316 B320:B334 B336:B349 B352:B1048576">
    <cfRule type="duplicateValues" dxfId="0" priority="54"/>
  </conditionalFormatting>
  <conditionalFormatting sqref="B1:B10 B12:B70 B72:B130 B133:B252 B255:B305 B307:B308 B312:B316 B320:B331 B333:B334 B336:B349 B352:B1048576">
    <cfRule type="duplicateValues" dxfId="0" priority="63"/>
  </conditionalFormatting>
  <conditionalFormatting sqref="C1:C123 C126:C127 C129:C130 C133:C199 C201:C202 C206:C252 C254:C308 C313 C320:C334 C336:C349 C352:C1048576">
    <cfRule type="containsText" dxfId="1" priority="6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1053</v>
      </c>
    </row>
    <row r="2" spans="1:3">
      <c r="A2" s="1" t="s">
        <v>842</v>
      </c>
      <c r="B2" s="2" t="s">
        <v>844</v>
      </c>
      <c r="C2" s="3" t="s">
        <v>1053</v>
      </c>
    </row>
    <row r="3" spans="1:3">
      <c r="A3" s="1" t="s">
        <v>845</v>
      </c>
      <c r="B3" s="2" t="s">
        <v>847</v>
      </c>
      <c r="C3" s="3" t="s">
        <v>1053</v>
      </c>
    </row>
    <row r="4" spans="1:3">
      <c r="A4" s="1" t="s">
        <v>848</v>
      </c>
      <c r="B4" s="2" t="s">
        <v>850</v>
      </c>
      <c r="C4" s="3" t="s">
        <v>1053</v>
      </c>
    </row>
    <row r="5" spans="1:3">
      <c r="A5" s="1" t="s">
        <v>851</v>
      </c>
      <c r="B5" s="2" t="s">
        <v>853</v>
      </c>
      <c r="C5" s="3" t="s">
        <v>1053</v>
      </c>
    </row>
    <row r="6" spans="1:3">
      <c r="A6" s="1" t="s">
        <v>1054</v>
      </c>
      <c r="B6" s="2" t="s">
        <v>1055</v>
      </c>
      <c r="C6" s="1" t="s">
        <v>744</v>
      </c>
    </row>
    <row r="7" spans="1:3">
      <c r="A7" s="1" t="s">
        <v>1056</v>
      </c>
      <c r="B7" s="4" t="s">
        <v>160</v>
      </c>
      <c r="C7" s="1" t="s">
        <v>158</v>
      </c>
    </row>
    <row r="8" spans="1:3">
      <c r="A8" s="1" t="s">
        <v>1057</v>
      </c>
      <c r="B8" s="4" t="s">
        <v>1058</v>
      </c>
      <c r="C8" s="1" t="s">
        <v>714</v>
      </c>
    </row>
    <row r="9" spans="1:4">
      <c r="A9" s="1" t="s">
        <v>1059</v>
      </c>
      <c r="B9" s="2" t="s">
        <v>1060</v>
      </c>
      <c r="C9" s="1" t="s">
        <v>212</v>
      </c>
      <c r="D9" s="1"/>
    </row>
    <row r="10" spans="1:3">
      <c r="A10" s="1" t="s">
        <v>1061</v>
      </c>
      <c r="B10" s="2" t="s">
        <v>1062</v>
      </c>
      <c r="C10" s="1" t="s">
        <v>140</v>
      </c>
    </row>
    <row r="11" spans="1:3">
      <c r="A11" s="1" t="s">
        <v>1063</v>
      </c>
      <c r="B11" s="2" t="s">
        <v>1064</v>
      </c>
      <c r="C11" s="1" t="s">
        <v>221</v>
      </c>
    </row>
    <row r="12" spans="1:3">
      <c r="A12" s="1" t="s">
        <v>1065</v>
      </c>
      <c r="B12" s="2" t="s">
        <v>1066</v>
      </c>
      <c r="C12" s="1" t="s">
        <v>312</v>
      </c>
    </row>
    <row r="13" spans="1:3">
      <c r="A13" s="1" t="s">
        <v>1067</v>
      </c>
      <c r="B13" s="2" t="s">
        <v>855</v>
      </c>
      <c r="C13" s="1" t="s">
        <v>854</v>
      </c>
    </row>
    <row r="14" spans="1:3">
      <c r="A14" s="1" t="s">
        <v>1068</v>
      </c>
      <c r="B14" s="2" t="s">
        <v>859</v>
      </c>
      <c r="C14" s="1" t="s">
        <v>857</v>
      </c>
    </row>
    <row r="15" spans="1:3">
      <c r="A15" s="1" t="s">
        <v>1069</v>
      </c>
      <c r="B15" s="2" t="s">
        <v>1070</v>
      </c>
      <c r="C15" s="1" t="s">
        <v>504</v>
      </c>
    </row>
    <row r="16" ht="27.6" spans="1:3">
      <c r="A16" s="1" t="s">
        <v>1071</v>
      </c>
      <c r="B16" s="2" t="s">
        <v>1072</v>
      </c>
      <c r="C16" s="5" t="s">
        <v>1073</v>
      </c>
    </row>
    <row r="17" spans="1:3">
      <c r="A17" s="1" t="s">
        <v>1074</v>
      </c>
      <c r="B17" s="2" t="s">
        <v>1075</v>
      </c>
      <c r="C17" s="1" t="s">
        <v>623</v>
      </c>
    </row>
    <row r="18" spans="1:3">
      <c r="A18" s="1" t="s">
        <v>1076</v>
      </c>
      <c r="B18" s="2" t="s">
        <v>1077</v>
      </c>
      <c r="C18" s="1" t="s">
        <v>134</v>
      </c>
    </row>
    <row r="19" spans="1:3">
      <c r="A19" s="1" t="s">
        <v>1078</v>
      </c>
      <c r="B19" s="2" t="s">
        <v>1079</v>
      </c>
      <c r="C19" s="1" t="s">
        <v>860</v>
      </c>
    </row>
    <row r="20" spans="1:3">
      <c r="A20" s="1" t="s">
        <v>863</v>
      </c>
      <c r="B20" s="2" t="s">
        <v>865</v>
      </c>
      <c r="C20" s="3" t="s">
        <v>1053</v>
      </c>
    </row>
    <row r="21" spans="1:3">
      <c r="A21" s="1" t="s">
        <v>1080</v>
      </c>
      <c r="B21" s="2" t="s">
        <v>868</v>
      </c>
      <c r="C21" s="1" t="s">
        <v>866</v>
      </c>
    </row>
    <row r="22" spans="1:3">
      <c r="A22" s="1" t="s">
        <v>1081</v>
      </c>
      <c r="B22" s="2" t="s">
        <v>1082</v>
      </c>
      <c r="C22" s="1" t="s">
        <v>71</v>
      </c>
    </row>
    <row r="23" spans="1:3">
      <c r="A23" s="1" t="s">
        <v>1083</v>
      </c>
      <c r="B23" s="2" t="s">
        <v>1084</v>
      </c>
      <c r="C23" s="1" t="s">
        <v>224</v>
      </c>
    </row>
    <row r="24" spans="1:3">
      <c r="A24" s="1" t="s">
        <v>1085</v>
      </c>
      <c r="B24" s="2" t="s">
        <v>1086</v>
      </c>
      <c r="C24" s="1" t="s">
        <v>379</v>
      </c>
    </row>
    <row r="25" spans="1:3">
      <c r="A25" s="1" t="s">
        <v>1087</v>
      </c>
      <c r="B25" s="2" t="s">
        <v>1088</v>
      </c>
      <c r="C25" s="1" t="s">
        <v>382</v>
      </c>
    </row>
    <row r="26" spans="1:3">
      <c r="A26" s="1" t="s">
        <v>1089</v>
      </c>
      <c r="B26" s="2" t="s">
        <v>1090</v>
      </c>
      <c r="C26" s="1" t="s">
        <v>721</v>
      </c>
    </row>
    <row r="27" spans="1:3">
      <c r="A27" s="1" t="s">
        <v>1091</v>
      </c>
      <c r="B27" s="2" t="s">
        <v>1092</v>
      </c>
      <c r="C27" s="1" t="s">
        <v>869</v>
      </c>
    </row>
    <row r="28" spans="1:3">
      <c r="A28" s="1" t="s">
        <v>1093</v>
      </c>
      <c r="B28" s="2" t="s">
        <v>1094</v>
      </c>
      <c r="C28" s="1" t="s">
        <v>50</v>
      </c>
    </row>
    <row r="29" spans="1:3">
      <c r="A29" s="1" t="s">
        <v>1095</v>
      </c>
      <c r="B29" s="4" t="s">
        <v>894</v>
      </c>
      <c r="C29" s="1" t="s">
        <v>893</v>
      </c>
    </row>
    <row r="30" spans="1:3">
      <c r="A30" s="1" t="s">
        <v>1096</v>
      </c>
      <c r="B30" s="2" t="s">
        <v>1097</v>
      </c>
      <c r="C30" s="1" t="s">
        <v>382</v>
      </c>
    </row>
    <row r="31" spans="1:3">
      <c r="A31" s="1" t="s">
        <v>1098</v>
      </c>
      <c r="B31" s="2" t="s">
        <v>1099</v>
      </c>
      <c r="C31" s="1" t="s">
        <v>648</v>
      </c>
    </row>
    <row r="32" spans="1:3">
      <c r="A32" s="1" t="s">
        <v>1100</v>
      </c>
      <c r="B32" s="2" t="s">
        <v>1101</v>
      </c>
      <c r="C32" s="1" t="s">
        <v>651</v>
      </c>
    </row>
    <row r="33" spans="1:3">
      <c r="A33" s="1" t="s">
        <v>872</v>
      </c>
      <c r="B33" s="2" t="s">
        <v>873</v>
      </c>
      <c r="C33" s="2" t="s">
        <v>1053</v>
      </c>
    </row>
    <row r="34" spans="1:3">
      <c r="A34" s="1" t="s">
        <v>875</v>
      </c>
      <c r="B34" s="2" t="s">
        <v>876</v>
      </c>
      <c r="C34" s="2" t="s">
        <v>1053</v>
      </c>
    </row>
    <row r="35" spans="1:3">
      <c r="A35" s="1" t="s">
        <v>878</v>
      </c>
      <c r="B35" s="2" t="s">
        <v>1102</v>
      </c>
      <c r="C35" s="5" t="s">
        <v>1053</v>
      </c>
    </row>
    <row r="36" spans="1:3">
      <c r="A36" s="1" t="s">
        <v>1103</v>
      </c>
      <c r="B36" s="2" t="s">
        <v>882</v>
      </c>
      <c r="C36" s="1" t="s">
        <v>881</v>
      </c>
    </row>
    <row r="37" spans="1:3">
      <c r="A37" s="1" t="s">
        <v>1104</v>
      </c>
      <c r="B37" s="2" t="s">
        <v>886</v>
      </c>
      <c r="C37" s="1" t="s">
        <v>884</v>
      </c>
    </row>
    <row r="38" spans="1:3">
      <c r="A38" s="1" t="s">
        <v>1105</v>
      </c>
      <c r="B38" s="2" t="s">
        <v>888</v>
      </c>
      <c r="C38" s="1" t="s">
        <v>887</v>
      </c>
    </row>
    <row r="39" spans="1:3">
      <c r="A39" s="1" t="s">
        <v>1106</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2023-03-09T11:19:14Z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
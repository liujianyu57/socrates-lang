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多语言!$A$2:$Y$1094</definedName>
  </definedNames>
  <calcPr calcId="144525"/>
</workbook>
</file>

<file path=xl/sharedStrings.xml><?xml version="1.0" encoding="utf-8"?>
<sst xmlns="http://schemas.openxmlformats.org/spreadsheetml/2006/main" count="11044" uniqueCount="9726">
  <si>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</si>
  <si>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</si>
  <si>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</si>
  <si>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</si>
  <si>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</si>
  <si>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</si>
  <si>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</si>
  <si>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</si>
  <si>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</si>
  <si>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</si>
  <si>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</si>
  <si>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</si>
  <si>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</si>
  <si>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</si>
  <si>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</si>
  <si>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</si>
  <si>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</si>
  <si>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</si>
  <si>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</si>
  <si>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</si>
  <si>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</si>
  <si>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</si>
  <si>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</si>
  <si>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</si>
  <si>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</si>
  <si>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</si>
  <si>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</si>
  <si>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</si>
  <si>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</si>
  <si>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</si>
  <si>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</si>
  <si>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</si>
  <si>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</si>
  <si>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</si>
  <si>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</si>
  <si>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</si>
  <si>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</si>
  <si>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</si>
  <si>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</si>
  <si>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</si>
  <si>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</si>
  <si>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</si>
  <si>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</si>
  <si>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</si>
  <si>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</si>
  <si>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</si>
  <si>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</si>
  <si>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</si>
  <si>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</si>
  <si>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</si>
  <si>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</si>
  <si>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</si>
  <si>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</si>
  <si>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</si>
  <si>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</si>
  <si>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</si>
  <si>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</si>
  <si>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</si>
  <si>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</si>
  <si>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</si>
  <si>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</si>
  <si>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</si>
  <si>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</si>
  <si>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</si>
  <si>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</si>
  <si>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</si>
  <si>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</si>
  <si>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</si>
  <si>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</si>
  <si>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</si>
  <si>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</si>
  <si>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</si>
  <si>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</si>
  <si>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</si>
  <si>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</si>
  <si>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</si>
  <si>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</si>
  <si>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</si>
  <si>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</si>
  <si>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</si>
  <si>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</si>
  <si>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</si>
  <si>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</si>
  <si>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</si>
  <si>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</si>
  <si>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</si>
  <si>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</si>
  <si>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</si>
  <si>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</si>
  <si>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</si>
  <si>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</si>
  <si>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</si>
  <si>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</si>
  <si>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</si>
  <si>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</si>
  <si>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</si>
  <si>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</si>
  <si>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</si>
  <si>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</si>
  <si>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</si>
  <si>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</si>
  <si>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</si>
  <si>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</si>
  <si>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</si>
  <si>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</si>
  <si>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</si>
  <si>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</si>
  <si>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</si>
  <si>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</si>
  <si>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</si>
  <si>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</si>
  <si>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</si>
  <si>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</si>
  <si>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</si>
  <si>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</si>
  <si>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</si>
  <si>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</si>
  <si>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</si>
  <si>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</si>
  <si>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</si>
  <si>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</si>
  <si>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</si>
  <si>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</si>
  <si>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</si>
  <si>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</si>
  <si>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</si>
  <si>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</si>
  <si>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</si>
  <si>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</si>
  <si>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</si>
  <si>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</si>
  <si>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</si>
  <si>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</si>
  <si>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</si>
  <si>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</si>
  <si>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</si>
  <si>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</si>
  <si>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</si>
  <si>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</si>
  <si>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</si>
  <si>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</si>
  <si>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</si>
  <si>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</si>
  <si>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</si>
  <si>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</si>
  <si>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</si>
  <si>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</si>
  <si>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</si>
  <si>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</si>
  <si>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</si>
  <si>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</si>
  <si>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</si>
  <si>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</si>
  <si>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</si>
  <si>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</si>
  <si>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</si>
  <si>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</si>
  <si>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</si>
  <si>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</si>
  <si>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</si>
  <si>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</si>
  <si>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</si>
  <si>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</si>
  <si>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</si>
  <si>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</si>
  <si>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</si>
  <si>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</si>
  <si>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</si>
  <si>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</si>
  <si>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</si>
  <si>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</si>
  <si>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</si>
  <si>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</si>
  <si>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</si>
  <si>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</si>
  <si>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</si>
  <si>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</si>
  <si>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</si>
  <si>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</si>
  <si>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</si>
  <si>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</si>
  <si>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</si>
  <si>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</si>
  <si>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</si>
  <si>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</si>
  <si>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</si>
  <si>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</si>
  <si>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</si>
  <si>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</si>
  <si>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</si>
  <si>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</si>
  <si>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</si>
  <si>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</si>
  <si>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</si>
  <si>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</si>
  <si>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</si>
  <si>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</si>
  <si>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</si>
  <si>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</si>
  <si>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</si>
  <si>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</si>
  <si>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</si>
  <si>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</si>
  <si>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</si>
  <si>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</si>
  <si>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</si>
  <si>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</si>
  <si>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</si>
  <si>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</si>
  <si>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</si>
  <si>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</si>
  <si>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</si>
  <si>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</si>
  <si>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</si>
  <si>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</si>
  <si>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</si>
  <si>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</si>
  <si>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</si>
  <si>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</si>
  <si>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</si>
  <si>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</si>
  <si>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</si>
  <si>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</si>
  <si>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</si>
  <si>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</si>
  <si>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</si>
  <si>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</si>
  <si>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</si>
  <si>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</si>
  <si>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</si>
  <si>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</si>
  <si>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</si>
  <si>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</si>
  <si>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</si>
  <si>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</si>
  <si>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</si>
  <si>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</si>
  <si>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</si>
  <si>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</si>
  <si>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</si>
  <si>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</si>
  <si>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</si>
  <si>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</si>
  <si>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</si>
  <si>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</si>
  <si>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</si>
  <si>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</si>
  <si>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</si>
  <si>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</si>
  <si>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</si>
  <si>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</si>
  <si>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</si>
  <si>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</si>
  <si>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</si>
  <si>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</si>
  <si>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</si>
  <si>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</si>
  <si>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</si>
  <si>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</si>
  <si>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</si>
  <si>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</si>
  <si>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</si>
  <si>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</si>
  <si>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</si>
  <si>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</si>
  <si>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</si>
  <si>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</si>
  <si>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</si>
  <si>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</si>
  <si>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</si>
  <si>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</si>
  <si>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</si>
  <si>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</si>
  <si>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</si>
  <si>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</si>
  <si>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</si>
  <si>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</si>
  <si>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</si>
  <si>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</si>
  <si>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</si>
  <si>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</si>
  <si>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</si>
  <si>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</si>
  <si>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</si>
  <si>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</si>
  <si>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</si>
  <si>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</si>
  <si>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</si>
  <si>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</si>
  <si>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</si>
  <si>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</si>
  <si>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</si>
  <si>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</si>
  <si>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</si>
  <si>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</si>
  <si>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</si>
  <si>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</si>
  <si>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</si>
  <si>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</si>
  <si>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</si>
  <si>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</si>
  <si>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</si>
  <si>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</si>
  <si>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</si>
  <si>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</si>
  <si>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</si>
  <si>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</si>
  <si>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</si>
  <si>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</si>
  <si>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</si>
  <si>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</si>
  <si>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</si>
  <si>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</si>
  <si>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</si>
  <si>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</si>
  <si>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</si>
  <si>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</si>
  <si>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</si>
  <si>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</si>
  <si>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</si>
  <si>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</si>
  <si>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</si>
  <si>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</si>
  <si>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</si>
  <si>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</si>
  <si>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</si>
  <si>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</si>
  <si>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</si>
  <si>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</si>
  <si>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</si>
  <si>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</si>
  <si>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</si>
  <si>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</si>
  <si>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</si>
  <si>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</si>
  <si>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</si>
  <si>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</si>
  <si>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</si>
  <si>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</si>
  <si>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</si>
  <si>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</si>
  <si>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</si>
  <si>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</si>
  <si>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</si>
  <si>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</si>
  <si>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</si>
  <si>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</si>
  <si>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</si>
  <si>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</si>
  <si>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</si>
  <si>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</si>
  <si>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</si>
  <si>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</si>
  <si>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</si>
  <si>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</si>
  <si>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</si>
  <si>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</si>
  <si>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</si>
  <si>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</si>
  <si>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</si>
  <si>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</si>
  <si>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</si>
  <si>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</si>
  <si>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</si>
  <si>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</si>
  <si>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</si>
  <si>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</si>
  <si>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</si>
  <si>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</si>
  <si>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</si>
  <si>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</si>
  <si>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</si>
  <si>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</si>
  <si>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</si>
  <si>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</si>
  <si>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</si>
  <si>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</si>
  <si>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</si>
  <si>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</si>
  <si>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</si>
  <si>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</si>
  <si>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</si>
  <si>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</si>
  <si>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</si>
  <si>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</si>
  <si>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</si>
  <si>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</si>
  <si>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</si>
  <si>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</si>
  <si>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</si>
  <si>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</si>
  <si>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</si>
  <si>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</si>
  <si>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</si>
  <si>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</si>
  <si>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</si>
  <si>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</si>
  <si>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</si>
  <si>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</si>
  <si>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</si>
  <si>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</si>
  <si>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</si>
  <si>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</si>
  <si>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</si>
  <si>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</si>
  <si>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</si>
  <si>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</si>
  <si>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</si>
  <si>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</si>
  <si>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</si>
  <si>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</si>
  <si>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</si>
  <si>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</si>
  <si>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</si>
  <si>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</si>
  <si>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</si>
  <si>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</si>
  <si>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</si>
  <si>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</si>
  <si>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</si>
  <si>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</si>
  <si>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</si>
  <si>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</si>
  <si>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</si>
  <si>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</si>
  <si>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</si>
  <si>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</si>
  <si>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</si>
  <si>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</si>
  <si>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</si>
  <si>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</si>
  <si>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</si>
  <si>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</si>
  <si>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</si>
  <si>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</si>
  <si>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</si>
  <si>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</si>
  <si>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</si>
  <si>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</si>
  <si>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</si>
  <si>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</si>
  <si>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</si>
  <si>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</si>
  <si>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</si>
  <si>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</si>
  <si>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</si>
  <si>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</si>
  <si>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</si>
  <si>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</si>
  <si>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</si>
  <si>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</si>
  <si>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</si>
  <si>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</si>
  <si>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</si>
  <si>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</si>
  <si>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</si>
  <si>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</si>
  <si>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</si>
  <si>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</si>
  <si>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</si>
  <si>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</si>
  <si>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</si>
  <si>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</si>
  <si>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</si>
  <si>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</si>
  <si>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</si>
  <si>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</si>
  <si>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</si>
  <si>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</si>
  <si>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</si>
  <si>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</si>
  <si>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</si>
  <si>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</si>
  <si>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</si>
  <si>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</si>
  <si>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</si>
  <si>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</si>
  <si>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</si>
  <si>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</si>
  <si>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</si>
  <si>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</si>
  <si>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</si>
  <si>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</si>
  <si>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</si>
  <si>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</si>
  <si>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</si>
  <si>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</si>
  <si>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</si>
  <si>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</si>
  <si>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</si>
  <si>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</si>
  <si>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</si>
  <si>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</si>
  <si>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</si>
  <si>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</si>
  <si>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</si>
  <si>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</si>
  <si>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</si>
  <si>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</si>
  <si>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</si>
  <si>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</si>
  <si>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</si>
  <si>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</si>
  <si>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</si>
  <si>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</si>
  <si>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</si>
  <si>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</si>
  <si>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</si>
  <si>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</si>
  <si>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</si>
  <si>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</si>
  <si>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</si>
  <si>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</si>
  <si>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</si>
  <si>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</si>
  <si>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</si>
  <si>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</si>
  <si>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</si>
  <si>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</si>
  <si>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</si>
  <si>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</si>
  <si>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</si>
  <si>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</si>
  <si>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</si>
  <si>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</si>
  <si>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</si>
  <si>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</si>
  <si>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</si>
  <si>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</si>
  <si>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</si>
  <si>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</si>
  <si>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</si>
  <si>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</si>
  <si>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</si>
  <si>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</si>
  <si>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</si>
  <si>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</si>
  <si>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</si>
  <si>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</si>
  <si>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</si>
  <si>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</si>
  <si>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</si>
  <si>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</si>
  <si>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</si>
  <si>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</si>
  <si>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</si>
  <si>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</si>
  <si>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</si>
  <si>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</si>
  <si>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</si>
  <si>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</si>
  <si>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</si>
  <si>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</si>
  <si>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</si>
  <si>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</si>
  <si>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</si>
  <si>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</si>
  <si>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</si>
  <si>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</si>
  <si>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</si>
  <si>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</si>
  <si>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</si>
  <si>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</si>
  <si>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</si>
  <si>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</si>
  <si>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</si>
  <si>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</si>
  <si>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</si>
  <si>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</si>
  <si>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</si>
  <si>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</si>
  <si>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</si>
  <si>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</si>
  <si>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</si>
  <si>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</si>
  <si>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</si>
  <si>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</si>
  <si>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</si>
  <si>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</si>
  <si>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</si>
  <si>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</si>
  <si>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</si>
  <si>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</si>
  <si>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</si>
  <si>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</si>
  <si>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</si>
  <si>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</si>
  <si>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</si>
  <si>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</si>
  <si>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</si>
  <si>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</si>
  <si>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</si>
  <si>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</si>
  <si>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</si>
  <si>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</si>
  <si>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</si>
  <si>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</si>
  <si>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</si>
  <si>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</si>
  <si>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</si>
  <si>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</si>
  <si>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</si>
  <si>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</si>
  <si>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</si>
  <si>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</si>
  <si>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</si>
  <si>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</si>
  <si>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</si>
  <si>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</si>
  <si>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</si>
  <si>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</si>
  <si>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</si>
  <si>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</si>
  <si>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</si>
  <si>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</si>
  <si>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</si>
  <si>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</si>
  <si>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</si>
  <si>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</si>
  <si>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</si>
  <si>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</si>
  <si>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</si>
  <si>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</si>
  <si>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</si>
  <si>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</si>
  <si>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</si>
  <si>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</si>
  <si>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</si>
  <si>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</si>
  <si>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</si>
  <si>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</si>
  <si>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</si>
  <si>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</si>
  <si>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</si>
  <si>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</si>
  <si>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</si>
  <si>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</si>
  <si>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</si>
  <si>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</si>
  <si>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</si>
  <si>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</si>
  <si>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</si>
  <si>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</si>
  <si>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</si>
  <si>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</si>
  <si>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</si>
  <si>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</si>
  <si>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</si>
  <si>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</si>
  <si>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</si>
  <si>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</si>
  <si>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</si>
  <si>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</si>
  <si>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</si>
  <si>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</si>
  <si>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</si>
  <si>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</si>
  <si>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</si>
  <si>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</si>
  <si>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</si>
  <si>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</si>
  <si>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</si>
  <si>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</si>
  <si>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</si>
  <si>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</si>
  <si>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</si>
  <si>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</si>
  <si>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</si>
  <si>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</si>
  <si>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</si>
  <si>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</si>
  <si>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</si>
  <si>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</si>
  <si>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</si>
  <si>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</si>
  <si>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</si>
  <si>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</si>
  <si>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</si>
  <si>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</si>
  <si>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</si>
  <si>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</si>
  <si>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</si>
  <si>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</si>
  <si>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</si>
  <si>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</si>
  <si>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</si>
  <si>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</si>
  <si>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</si>
  <si>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</si>
  <si>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</si>
  <si>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</si>
  <si>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</si>
  <si>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</si>
  <si>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</si>
  <si>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</si>
  <si>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</si>
  <si>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</si>
  <si>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</si>
  <si>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</si>
  <si>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</si>
  <si>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</si>
  <si>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</si>
  <si>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</si>
  <si>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</si>
  <si>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</si>
  <si>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</si>
  <si>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</si>
  <si>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</si>
  <si>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</si>
  <si>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</si>
  <si>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</si>
  <si>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</si>
  <si>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</si>
  <si>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</si>
  <si>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</si>
  <si>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</si>
  <si>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</si>
  <si>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</si>
  <si>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</si>
  <si>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</si>
  <si>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</si>
  <si>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</si>
  <si>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</si>
  <si>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</si>
  <si>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</si>
  <si>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</si>
  <si>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</si>
  <si>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</si>
  <si>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</si>
  <si>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</si>
  <si>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</si>
  <si>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</si>
  <si>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</si>
  <si>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</si>
  <si>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</si>
  <si>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</si>
  <si>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</si>
  <si>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</si>
  <si>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</si>
  <si>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</si>
  <si>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</si>
  <si>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</si>
  <si>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</si>
  <si>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</si>
  <si>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</si>
  <si>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</si>
  <si>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</si>
  <si>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</si>
  <si>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</si>
  <si>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</si>
  <si>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</si>
  <si>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</si>
  <si>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</si>
  <si>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</si>
  <si>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</si>
  <si>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</si>
  <si>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</si>
  <si>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</si>
  <si>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</si>
  <si>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</si>
  <si>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</si>
  <si>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</si>
  <si>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</si>
  <si>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</si>
  <si>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</si>
  <si>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</si>
  <si>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</si>
  <si>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</si>
  <si>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</si>
  <si>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</si>
  <si>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</si>
  <si>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</si>
  <si>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</si>
  <si>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</si>
  <si>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</si>
  <si>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</si>
  <si>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</si>
  <si>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</si>
  <si>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</si>
  <si>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</si>
  <si>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</si>
  <si>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</si>
  <si>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</si>
  <si>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</si>
  <si>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</si>
  <si>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</si>
  <si>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</si>
  <si>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</si>
  <si>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</si>
  <si>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</si>
  <si>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</si>
  <si>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</si>
  <si>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</si>
  <si>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</si>
  <si>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</si>
  <si>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</si>
  <si>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</si>
  <si>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</si>
  <si>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</si>
  <si>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</si>
  <si>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</si>
  <si>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</si>
  <si>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</si>
  <si>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</si>
  <si>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</si>
  <si>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</si>
  <si>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</si>
  <si>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</si>
  <si>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</si>
  <si>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</si>
  <si>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</si>
  <si>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</si>
  <si>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</si>
  <si>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</si>
  <si>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</si>
  <si>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</si>
  <si>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</si>
  <si>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</si>
  <si>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</si>
  <si>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</si>
  <si>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</si>
  <si>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</si>
  <si>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</si>
  <si>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</si>
  <si>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</si>
  <si>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</si>
  <si>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</si>
  <si>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</si>
  <si>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</si>
  <si>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</si>
  <si>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</si>
  <si>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</si>
  <si>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</si>
  <si>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</si>
  <si>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</si>
  <si>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</si>
  <si>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</si>
  <si>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</si>
  <si>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</si>
  <si>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</si>
  <si>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</si>
  <si>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</si>
  <si>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</si>
  <si>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</si>
  <si>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</si>
  <si>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</si>
  <si>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</si>
  <si>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</si>
  <si>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</si>
  <si>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</si>
  <si>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</si>
  <si>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</si>
  <si>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</si>
  <si>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</si>
  <si>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</si>
  <si>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</si>
  <si>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</si>
  <si>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</si>
  <si>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</si>
  <si>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</si>
  <si>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</si>
  <si>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</si>
  <si>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</si>
  <si>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</si>
  <si>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</si>
  <si>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</si>
  <si>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</si>
  <si>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</si>
  <si>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</si>
  <si>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</si>
  <si>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</si>
  <si>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</si>
  <si>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</si>
  <si>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</si>
  <si>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</si>
  <si>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</si>
  <si>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</si>
  <si>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</si>
  <si>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</si>
  <si>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</si>
  <si>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</si>
  <si>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</si>
  <si>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</si>
  <si>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</si>
  <si>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</si>
  <si>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</si>
  <si>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</si>
  <si>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</si>
  <si>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</si>
  <si>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</si>
  <si>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</si>
  <si>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</si>
  <si>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</si>
  <si>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</si>
  <si>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</si>
  <si>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</si>
  <si>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</si>
  <si>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</si>
  <si>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</si>
  <si>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</si>
  <si>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</si>
  <si>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</si>
  <si>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</si>
  <si>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</si>
  <si>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</si>
  <si>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</si>
  <si>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</si>
  <si>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</si>
  <si>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</si>
  <si>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</si>
  <si>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</si>
  <si>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</si>
  <si>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</si>
  <si>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</si>
  <si>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</si>
  <si>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</si>
  <si>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</si>
  <si>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</si>
  <si>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</si>
  <si>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</si>
  <si>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</si>
  <si>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</si>
  <si>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</si>
  <si>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</si>
  <si>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</si>
  <si>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</si>
  <si>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</si>
  <si>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</si>
  <si>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</si>
  <si>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</si>
  <si>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</si>
  <si>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</si>
  <si>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</si>
  <si>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</si>
  <si>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</si>
  <si>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</si>
  <si>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</si>
  <si>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</si>
  <si>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</si>
  <si>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</si>
  <si>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</si>
  <si>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</si>
  <si>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</si>
  <si>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</si>
  <si>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</si>
  <si>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</si>
  <si>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</si>
  <si>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</si>
  <si>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</si>
  <si>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</si>
  <si>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</si>
  <si>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</si>
  <si>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</si>
  <si>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</si>
  <si>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</si>
  <si>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</si>
  <si>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</si>
  <si>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</si>
  <si>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</si>
  <si>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</si>
  <si>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</si>
  <si>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</si>
  <si>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</si>
  <si>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</si>
  <si>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</si>
  <si>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</si>
  <si>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</si>
  <si>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</si>
  <si>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</si>
  <si>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</si>
  <si>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</si>
  <si>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</si>
  <si>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</si>
  <si>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</si>
  <si>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</si>
  <si>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</si>
  <si>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</si>
  <si>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</si>
  <si>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</si>
  <si>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</si>
  <si>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</si>
  <si>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</si>
  <si>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</si>
  <si>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</si>
  <si>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</si>
  <si>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</si>
  <si>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</si>
  <si>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</si>
  <si>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</si>
  <si>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</si>
  <si>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</si>
  <si>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</si>
  <si>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</si>
  <si>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</si>
  <si>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</si>
  <si>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</si>
  <si>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</si>
  <si>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</si>
  <si>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</si>
  <si>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</si>
  <si>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</si>
  <si>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</si>
  <si>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</si>
  <si>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</si>
  <si>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</si>
  <si>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</si>
  <si>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</si>
  <si>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</si>
  <si>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</si>
  <si>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</si>
  <si>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</si>
  <si>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</si>
  <si>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</si>
  <si>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</si>
  <si>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</si>
  <si>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</si>
  <si>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</si>
  <si>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</si>
  <si>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</si>
  <si>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</si>
  <si>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</si>
  <si>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</si>
  <si>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</si>
  <si>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</si>
  <si>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</si>
  <si>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</si>
  <si>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</si>
  <si>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</si>
  <si>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</si>
  <si>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</si>
  <si>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</si>
  <si>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</si>
  <si>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</si>
  <si>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</si>
  <si>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</si>
  <si>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</si>
  <si>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</si>
  <si>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</si>
  <si>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</si>
  <si>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</si>
  <si>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</si>
  <si>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</si>
  <si>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</si>
  <si>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</si>
  <si>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</si>
  <si>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</si>
  <si>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</si>
  <si>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</si>
  <si>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</si>
  <si>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</si>
  <si>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</si>
  <si>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</si>
  <si>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</si>
  <si>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</si>
  <si>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</si>
  <si>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</si>
  <si>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</si>
  <si>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</si>
  <si>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</si>
  <si>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</si>
  <si>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</si>
  <si>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</si>
  <si>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</si>
  <si>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</si>
  <si>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</si>
  <si>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</si>
  <si>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</si>
  <si>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</si>
  <si>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</si>
  <si>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</si>
  <si>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</si>
  <si>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</si>
  <si>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</si>
  <si>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</si>
  <si>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</si>
  <si>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</si>
  <si>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</si>
  <si>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</si>
  <si>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</si>
  <si>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</si>
  <si>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</si>
  <si>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</si>
  <si>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</si>
  <si>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</si>
  <si>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</si>
  <si>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</si>
  <si>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</si>
  <si>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</si>
  <si>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</si>
  <si>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</si>
  <si>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</si>
  <si>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</si>
  <si>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</si>
  <si>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</si>
  <si>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</si>
  <si>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</si>
  <si>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</si>
  <si>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</si>
  <si>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</si>
  <si>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</si>
  <si>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</si>
  <si>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</si>
  <si>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</si>
  <si>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</si>
  <si>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</si>
  <si>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</si>
  <si>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</si>
  <si>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</si>
  <si>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</si>
  <si>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</si>
  <si>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</si>
  <si>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</si>
  <si>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</si>
  <si>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</si>
  <si>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</si>
  <si>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</si>
  <si>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</si>
  <si>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</si>
  <si>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</si>
  <si>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</si>
  <si>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</si>
  <si>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</si>
  <si>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</si>
  <si>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</si>
  <si>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</si>
  <si>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</si>
  <si>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</si>
  <si>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</si>
  <si>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</si>
  <si>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</si>
  <si>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</si>
  <si>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</si>
  <si>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</si>
  <si>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</si>
  <si>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</si>
  <si>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</si>
  <si>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</si>
  <si>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</si>
  <si>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</si>
  <si>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</si>
  <si>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</si>
  <si>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</si>
  <si>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</si>
  <si>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</si>
  <si>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</si>
  <si>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</si>
  <si>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</si>
  <si>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</si>
  <si>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</si>
  <si>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</si>
  <si>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</si>
  <si>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</si>
  <si>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</si>
  <si>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</si>
  <si>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</si>
  <si>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</si>
  <si>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</si>
  <si>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</si>
  <si>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</si>
  <si>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</si>
  <si>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</si>
  <si>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</si>
  <si>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</si>
  <si>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</si>
  <si>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</si>
  <si>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</si>
  <si>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</si>
  <si>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</si>
  <si>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</si>
  <si>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</si>
  <si>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</si>
  <si>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</si>
  <si>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</si>
  <si>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</si>
  <si>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</si>
  <si>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</si>
  <si>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</si>
  <si>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</si>
  <si>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</si>
  <si>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</si>
  <si>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</si>
  <si>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</si>
  <si>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</si>
  <si>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</si>
  <si>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</si>
  <si>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</si>
  <si>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</si>
  <si>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</si>
  <si>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</si>
  <si>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</si>
  <si>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</si>
  <si>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</si>
  <si>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</si>
  <si>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</si>
  <si>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</si>
  <si>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</si>
  <si>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</si>
  <si>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</si>
  <si>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</si>
  <si>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</si>
  <si>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</si>
  <si>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</si>
  <si>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</si>
  <si>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</si>
  <si>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</si>
  <si>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</si>
  <si>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</si>
  <si>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</si>
  <si>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</si>
  <si>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</si>
  <si>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</si>
  <si>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</si>
  <si>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</si>
  <si>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</si>
  <si>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</si>
  <si>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</si>
  <si>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</si>
  <si>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</si>
  <si>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</si>
  <si>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</si>
  <si>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</si>
  <si>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</si>
  <si>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</si>
  <si>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</si>
  <si>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</si>
  <si>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</si>
  <si>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</si>
  <si>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</si>
  <si>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</si>
  <si>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</si>
  <si>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</si>
  <si>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</si>
  <si>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</si>
  <si>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</si>
  <si>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</si>
  <si>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</si>
  <si>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</si>
  <si>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</si>
  <si>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</si>
  <si>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</si>
  <si>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</si>
  <si>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</si>
  <si>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</si>
  <si>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</si>
  <si>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</si>
  <si>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</si>
  <si>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</si>
  <si>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</si>
  <si>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</si>
  <si>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</si>
  <si>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</si>
  <si>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</si>
  <si>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</si>
  <si>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</si>
  <si>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</si>
  <si>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</si>
  <si>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</si>
  <si>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</si>
  <si>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</si>
  <si>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</si>
  <si>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</si>
  <si>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</si>
  <si>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</si>
  <si>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</si>
  <si>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</si>
  <si>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</si>
  <si>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</si>
  <si>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</si>
  <si>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</si>
  <si>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</si>
  <si>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</si>
  <si>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</si>
  <si>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</si>
  <si>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</si>
  <si>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</si>
  <si>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</si>
  <si>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</si>
  <si>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</si>
  <si>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</si>
  <si>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</si>
  <si>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</si>
  <si>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</si>
  <si>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</si>
  <si>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</si>
  <si>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</si>
  <si>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</si>
  <si>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</si>
  <si>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</si>
  <si>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</si>
  <si>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</si>
  <si>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</si>
  <si>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</si>
  <si>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</si>
  <si>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</si>
  <si>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</si>
  <si>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</si>
  <si>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</si>
  <si>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</si>
  <si>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</si>
  <si>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</si>
  <si>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</si>
  <si>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</si>
  <si>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</si>
  <si>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</si>
  <si>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</si>
  <si>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</si>
  <si>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</si>
  <si>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</si>
  <si>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</si>
  <si>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</si>
  <si>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</si>
  <si>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</si>
  <si>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</si>
  <si>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</si>
  <si>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</si>
  <si>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</si>
  <si>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</si>
  <si>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</si>
  <si>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</si>
  <si>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</si>
  <si>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</si>
  <si>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</si>
  <si>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</si>
  <si>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</si>
  <si>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</si>
  <si>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</si>
  <si>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</si>
  <si>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</si>
  <si>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</si>
  <si>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</si>
  <si>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</si>
  <si>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</si>
  <si>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</si>
  <si>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</si>
  <si>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</si>
  <si>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</si>
  <si>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</si>
  <si>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</si>
  <si>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</si>
  <si>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</si>
  <si>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</si>
  <si>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</si>
  <si>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</si>
  <si>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</si>
  <si>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</si>
  <si>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</si>
  <si>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</si>
  <si>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</si>
  <si>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</si>
  <si>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</si>
  <si>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</si>
  <si>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</si>
  <si>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</si>
  <si>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</si>
  <si>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</si>
  <si>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</si>
  <si>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</si>
  <si>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</si>
  <si>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</si>
  <si>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</si>
  <si>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</si>
  <si>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</si>
  <si>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</si>
  <si>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</si>
  <si>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</si>
  <si>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</si>
  <si>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</si>
  <si>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</si>
  <si>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</si>
  <si>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</si>
  <si>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</si>
  <si>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</si>
  <si>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</si>
  <si>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</si>
  <si>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</si>
  <si>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</si>
  <si>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</si>
  <si>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</si>
  <si>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</si>
  <si>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</si>
  <si>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</si>
  <si>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</si>
  <si>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</si>
  <si>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</si>
  <si>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</si>
  <si>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</si>
  <si>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</si>
  <si>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</si>
  <si>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</si>
  <si>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</si>
  <si>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</si>
  <si>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</si>
  <si>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</si>
  <si>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</si>
  <si>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</si>
  <si>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</si>
  <si>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</si>
  <si>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</si>
  <si>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</si>
  <si>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</si>
  <si>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</si>
  <si>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</si>
  <si>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</si>
  <si>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</si>
  <si>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</si>
  <si>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</si>
  <si>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</si>
  <si>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</si>
  <si>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</si>
  <si>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</si>
  <si>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</si>
  <si>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</si>
  <si>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</si>
  <si>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</si>
  <si>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</si>
  <si>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</si>
  <si>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</si>
  <si>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</si>
  <si>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</si>
  <si>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</si>
  <si>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</si>
  <si>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</si>
  <si>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</si>
  <si>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</si>
  <si>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</si>
  <si>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</si>
  <si>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</si>
  <si>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</si>
  <si>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</si>
  <si>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</si>
  <si>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</si>
  <si>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</si>
  <si>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</si>
  <si>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</si>
  <si>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</si>
  <si>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</si>
  <si>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</si>
  <si>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</si>
  <si>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</si>
  <si>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</si>
  <si>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</si>
  <si>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</si>
  <si>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</si>
  <si>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</si>
  <si>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</si>
  <si>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</si>
  <si>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</si>
  <si>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</si>
  <si>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</si>
  <si>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</si>
  <si>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</si>
  <si>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</si>
  <si>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</si>
  <si>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</si>
  <si>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</si>
  <si>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</si>
  <si>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</si>
  <si>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</si>
  <si>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</si>
  <si>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</si>
  <si>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</si>
  <si>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</si>
  <si>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</si>
  <si>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</si>
  <si>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</si>
  <si>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</si>
  <si>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</si>
  <si>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</si>
  <si>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</si>
  <si>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</si>
  <si>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</si>
  <si>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</si>
  <si>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</si>
  <si>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</si>
  <si>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</si>
  <si>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</si>
  <si>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</si>
  <si>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</si>
  <si>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</si>
  <si>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</si>
  <si>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</si>
  <si>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</si>
  <si>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</si>
  <si>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</si>
  <si>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</si>
  <si>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</si>
  <si>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</si>
  <si>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</si>
  <si>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</si>
  <si>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</si>
  <si>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</si>
  <si>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</si>
  <si>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</si>
  <si>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</si>
  <si>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</si>
  <si>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</si>
  <si>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</si>
  <si>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</si>
  <si>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</si>
  <si>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</si>
  <si>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</si>
  <si>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</si>
  <si>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</si>
  <si>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</si>
  <si>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</si>
  <si>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</si>
  <si>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</si>
  <si>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</si>
  <si>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</si>
  <si>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</si>
  <si>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</si>
  <si>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</si>
  <si>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</si>
  <si>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</si>
  <si>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</si>
  <si>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</si>
  <si>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</si>
  <si>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</si>
  <si>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</si>
  <si>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</si>
  <si>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</si>
  <si>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</si>
  <si>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</si>
  <si>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</si>
  <si>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</si>
  <si>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</si>
  <si>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</si>
  <si>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</si>
  <si>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</si>
  <si>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</si>
  <si>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</si>
  <si>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</si>
  <si>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</si>
  <si>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</si>
  <si>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</si>
  <si>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</si>
  <si>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</si>
  <si>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</si>
  <si>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</si>
  <si>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</si>
  <si>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</si>
  <si>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</si>
  <si>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</si>
  <si>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</si>
  <si>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</si>
  <si>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</si>
  <si>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</si>
  <si>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</si>
  <si>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</si>
  <si>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</si>
  <si>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</si>
  <si>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</si>
  <si>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</si>
  <si>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</si>
  <si>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</si>
  <si>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</si>
  <si>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</si>
  <si>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</si>
  <si>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</si>
  <si>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</si>
  <si>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</si>
  <si>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</si>
  <si>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</si>
  <si>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</si>
  <si>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</si>
  <si>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</si>
  <si>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</si>
  <si>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</si>
  <si>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</si>
  <si>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</si>
  <si>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</si>
  <si>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</si>
  <si>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</si>
  <si>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</si>
  <si>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</si>
  <si>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</si>
  <si>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</si>
  <si>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</si>
  <si>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</si>
  <si>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</si>
  <si>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</si>
  <si>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</si>
  <si>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</si>
  <si>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</si>
  <si>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</si>
  <si>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</si>
  <si>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</si>
  <si>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</si>
  <si>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</si>
  <si>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</si>
  <si>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</si>
  <si>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</si>
  <si>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</si>
  <si>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</si>
  <si>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</si>
  <si>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</si>
  <si>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</si>
  <si>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</si>
  <si>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</si>
  <si>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</si>
  <si>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</si>
  <si>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</si>
  <si>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</si>
  <si>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</si>
  <si>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</si>
  <si>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</si>
  <si>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</si>
  <si>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</si>
  <si>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</si>
  <si>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</si>
  <si>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</si>
  <si>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</si>
  <si>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</si>
  <si>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</si>
  <si>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</si>
  <si>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</si>
  <si>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</si>
  <si>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</si>
  <si>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</si>
  <si>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</si>
  <si>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</si>
  <si>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</si>
  <si>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</si>
  <si>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</si>
  <si>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</si>
  <si>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</si>
  <si>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</si>
  <si>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</si>
  <si>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</si>
  <si>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</si>
  <si>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</si>
  <si>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</si>
  <si>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</si>
  <si>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</si>
  <si>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</si>
  <si>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</si>
  <si>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</si>
  <si>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</si>
  <si>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</si>
  <si>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</si>
  <si>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</si>
  <si>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</si>
  <si>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</si>
  <si>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</si>
  <si>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</si>
  <si>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</si>
  <si>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</si>
  <si>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</si>
  <si>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</si>
  <si>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</si>
  <si>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</si>
  <si>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</si>
  <si>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</si>
  <si>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</si>
  <si>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</si>
  <si>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</si>
  <si>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</si>
  <si>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</si>
  <si>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</si>
  <si>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</si>
  <si>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</si>
  <si>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</si>
  <si>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</si>
  <si>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</si>
  <si>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</si>
  <si>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</si>
  <si>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</si>
  <si>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</si>
  <si>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</si>
  <si>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</si>
  <si>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</si>
  <si>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</si>
  <si>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</si>
  <si>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</si>
  <si>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</si>
  <si>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</si>
  <si>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</si>
  <si>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</si>
  <si>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</si>
  <si>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</si>
  <si>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</si>
  <si>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</si>
  <si>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</si>
  <si>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</si>
  <si>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</si>
  <si>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</si>
  <si>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</si>
  <si>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</si>
  <si>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</si>
  <si>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</si>
  <si>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</si>
  <si>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</si>
  <si>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</si>
  <si>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</si>
  <si>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</si>
  <si>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</si>
  <si>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</si>
  <si>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</si>
  <si>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</si>
  <si>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</si>
  <si>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</si>
  <si>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</si>
  <si>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</si>
  <si>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</si>
  <si>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</si>
  <si>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</si>
  <si>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</si>
  <si>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</si>
  <si>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</si>
  <si>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</si>
  <si>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</si>
  <si>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</si>
  <si>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</si>
  <si>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</si>
  <si>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</si>
  <si>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</si>
  <si>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</si>
  <si>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</si>
  <si>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</si>
  <si>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</si>
  <si>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</si>
  <si>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</si>
  <si>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</si>
  <si>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</si>
  <si>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</si>
  <si>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</si>
  <si>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</si>
  <si>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</si>
  <si>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</si>
  <si>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</si>
  <si>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</si>
  <si>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</si>
  <si>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</si>
  <si>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</si>
  <si>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</si>
  <si>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</si>
  <si>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</si>
  <si>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</si>
  <si>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</si>
  <si>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</si>
  <si>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</si>
  <si>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</si>
  <si>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</si>
  <si>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</si>
  <si>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</si>
  <si>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</si>
  <si>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</si>
  <si>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</si>
  <si>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</si>
  <si>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</si>
  <si>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</si>
  <si>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</si>
  <si>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</si>
  <si>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</si>
  <si>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</si>
  <si>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</si>
  <si>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</si>
  <si>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</si>
  <si>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</si>
  <si>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</si>
  <si>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</si>
  <si>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</si>
  <si>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</si>
  <si>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</si>
  <si>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</si>
  <si>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</si>
  <si>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</si>
  <si>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</si>
  <si>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</si>
  <si>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</si>
  <si>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</si>
  <si>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</si>
  <si>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</si>
  <si>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</si>
  <si>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</si>
  <si>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</si>
  <si>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</si>
  <si>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</si>
  <si>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</si>
  <si>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</si>
  <si>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</si>
  <si>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</si>
  <si>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</si>
  <si>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</si>
  <si>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</si>
  <si>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</si>
  <si>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</si>
  <si>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</si>
  <si>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</si>
  <si>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</si>
  <si>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</si>
  <si>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</si>
  <si>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</si>
  <si>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</si>
  <si>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</si>
  <si>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</si>
  <si>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</si>
  <si>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</si>
  <si>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</si>
  <si>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</si>
  <si>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</si>
  <si>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</si>
  <si>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</si>
  <si>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</si>
  <si>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</si>
  <si>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</si>
  <si>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</si>
  <si>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</si>
  <si>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</si>
  <si>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</si>
  <si>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</si>
  <si>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</si>
  <si>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</si>
  <si>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</si>
  <si>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</si>
  <si>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</si>
  <si>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</si>
  <si>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</si>
  <si>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</si>
  <si>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</si>
  <si>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</si>
  <si>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</si>
  <si>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</si>
  <si>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</si>
  <si>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</si>
  <si>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</si>
  <si>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</si>
  <si>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</si>
  <si>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</si>
  <si>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</si>
  <si>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</si>
  <si>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</si>
  <si>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</si>
  <si>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</si>
  <si>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</si>
  <si>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</si>
  <si>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</si>
  <si>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</si>
  <si>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</si>
  <si>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</si>
  <si>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</si>
  <si>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</si>
  <si>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</si>
  <si>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</si>
  <si>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</si>
  <si>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</si>
  <si>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</si>
  <si>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</si>
  <si>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</si>
  <si>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</si>
  <si>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</si>
  <si>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</si>
  <si>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</si>
  <si>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</si>
  <si>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</si>
  <si>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</si>
  <si>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</si>
  <si>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</si>
  <si>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</si>
  <si>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</si>
  <si>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</si>
  <si>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</si>
  <si>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</si>
  <si>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</si>
  <si>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</si>
  <si>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</si>
  <si>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</si>
  <si>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</si>
  <si>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</si>
  <si>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</si>
  <si>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</si>
  <si>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</si>
  <si>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</si>
  <si>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</si>
  <si>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</si>
  <si>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</si>
  <si>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</si>
  <si>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</si>
  <si>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</si>
  <si>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</si>
  <si>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</si>
  <si>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</si>
  <si>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</si>
  <si>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</si>
  <si>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</si>
  <si>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</si>
  <si>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</si>
  <si>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</si>
  <si>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</si>
  <si>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</si>
  <si>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</si>
  <si>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</si>
  <si>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</si>
  <si>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</si>
  <si>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</si>
  <si>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</si>
  <si>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</si>
  <si>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</si>
  <si>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</si>
  <si>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</si>
  <si>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</si>
  <si>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</si>
  <si>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</si>
  <si>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</si>
  <si>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</si>
  <si>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</si>
  <si>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</si>
  <si>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</si>
  <si>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</si>
  <si>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</si>
  <si>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</si>
  <si>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</si>
  <si>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</si>
  <si>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</si>
  <si>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</si>
  <si>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</si>
  <si>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</si>
  <si>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</si>
  <si>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</si>
  <si>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</si>
  <si>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</si>
  <si>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</si>
  <si>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</si>
  <si>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</si>
  <si>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</si>
  <si>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</si>
  <si>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</si>
  <si>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</si>
  <si>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</si>
  <si>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</si>
  <si>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</si>
  <si>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</si>
  <si>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</si>
  <si>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</si>
  <si>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</si>
  <si>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</si>
  <si>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</si>
  <si>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</si>
  <si>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</si>
  <si>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</si>
  <si>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</si>
  <si>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</si>
  <si>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</si>
  <si>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</si>
  <si>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</si>
  <si>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</si>
  <si>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</si>
  <si>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</si>
  <si>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</si>
  <si>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</si>
  <si>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</si>
  <si>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</si>
  <si>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</si>
  <si>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</si>
  <si>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</si>
  <si>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</si>
  <si>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</si>
  <si>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</si>
  <si>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</si>
  <si>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</si>
  <si>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</si>
  <si>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</si>
  <si>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</si>
  <si>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</si>
  <si>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</si>
  <si>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</si>
  <si>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</si>
  <si>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</si>
  <si>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</si>
  <si>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</si>
  <si>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</si>
  <si>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</si>
  <si>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</si>
  <si>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</si>
  <si>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</si>
  <si>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</si>
  <si>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</si>
  <si>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</si>
  <si>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</si>
  <si>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</si>
  <si>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</si>
  <si>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</si>
  <si>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</si>
  <si>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</si>
  <si>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</si>
  <si>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</si>
  <si>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</si>
  <si>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</si>
  <si>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</si>
  <si>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</si>
  <si>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</si>
  <si>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</si>
  <si>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</si>
  <si>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</si>
  <si>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</si>
  <si>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</si>
  <si>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</si>
  <si>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</si>
  <si>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</si>
  <si>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</si>
  <si>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</si>
  <si>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</si>
  <si>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</si>
  <si>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</si>
  <si>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</si>
  <si>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</si>
  <si>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</si>
  <si>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</si>
  <si>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</si>
  <si>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</si>
  <si>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</si>
  <si>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</si>
  <si>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</si>
  <si>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</si>
  <si>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</si>
  <si>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</si>
  <si>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</si>
  <si>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</si>
  <si>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</si>
  <si>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</si>
  <si>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</si>
  <si>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</si>
  <si>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</si>
  <si>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</si>
  <si>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</si>
  <si>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</si>
  <si>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</si>
  <si>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</si>
  <si>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</si>
  <si>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</si>
  <si>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</si>
  <si>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</si>
  <si>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</si>
  <si>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</si>
  <si>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</si>
  <si>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</si>
  <si>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</si>
  <si>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</si>
  <si>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</si>
  <si>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</si>
  <si>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</si>
  <si>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</si>
  <si>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</si>
  <si>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</si>
  <si>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</si>
  <si>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</si>
  <si>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</si>
  <si>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</si>
  <si>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</si>
  <si>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</si>
  <si>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</si>
  <si>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</si>
  <si>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</si>
  <si>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</si>
  <si>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</si>
  <si>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</si>
  <si>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</si>
  <si>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</si>
  <si>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</si>
  <si>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</si>
  <si>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</si>
  <si>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</si>
  <si>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</si>
  <si>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</si>
  <si>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</si>
  <si>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</si>
  <si>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</si>
  <si>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</si>
  <si>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</si>
  <si>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</si>
  <si>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</si>
  <si>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</si>
  <si>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</si>
  <si>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</si>
  <si>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</si>
  <si>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</si>
  <si>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</si>
  <si>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</si>
  <si>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</si>
  <si>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</si>
  <si>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</si>
  <si>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</si>
  <si>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</si>
  <si>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</si>
  <si>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</si>
  <si>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</si>
  <si>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</si>
  <si>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</si>
  <si>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</si>
  <si>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</si>
  <si>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</si>
  <si>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</si>
  <si>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</si>
  <si>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</si>
  <si>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</si>
  <si>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</si>
  <si>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</si>
  <si>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</si>
  <si>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</si>
  <si>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</si>
  <si>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</si>
  <si>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</si>
  <si>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</si>
  <si>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</si>
  <si>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</si>
  <si>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</si>
  <si>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</si>
  <si>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</si>
  <si>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</si>
  <si>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</si>
  <si>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</si>
  <si>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</si>
  <si>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</si>
  <si>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</si>
  <si>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</si>
  <si>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</si>
  <si>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</si>
  <si>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</si>
  <si>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</si>
  <si>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</si>
  <si>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</si>
  <si>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</si>
  <si>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</si>
  <si>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</si>
  <si>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</si>
  <si>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</si>
  <si>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</si>
  <si>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</si>
  <si>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</si>
  <si>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</si>
  <si>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</si>
  <si>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</si>
  <si>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</si>
  <si>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</si>
  <si>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</si>
  <si>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</si>
  <si>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</si>
  <si>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</si>
  <si>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</si>
  <si>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</si>
  <si>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</si>
  <si>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</si>
  <si>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</si>
  <si>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</si>
  <si>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</si>
  <si>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</si>
  <si>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</si>
  <si>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</si>
  <si>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</si>
  <si>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</si>
  <si>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</si>
  <si>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</si>
  <si>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</si>
  <si>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</si>
  <si>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</si>
  <si>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</si>
  <si>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</si>
  <si>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</si>
  <si>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</si>
  <si>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</si>
  <si>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</si>
  <si>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</si>
  <si>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</si>
  <si>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</si>
  <si>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</si>
  <si>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</si>
  <si>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</si>
  <si>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</si>
  <si>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</si>
  <si>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</si>
  <si>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</si>
  <si>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</si>
  <si>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</si>
  <si>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</si>
  <si>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</si>
  <si>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</si>
  <si>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</si>
  <si>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</si>
  <si>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</si>
  <si>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</si>
  <si>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</si>
  <si>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</si>
  <si>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</si>
  <si>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</si>
  <si>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</si>
  <si>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</si>
  <si>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</si>
  <si>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</si>
  <si>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</si>
  <si>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</si>
  <si>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</si>
  <si>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</si>
  <si>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</si>
  <si>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</si>
  <si>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</si>
  <si>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</si>
  <si>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</si>
  <si>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</si>
  <si>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</si>
  <si>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</si>
  <si>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</si>
  <si>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</si>
  <si>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</si>
  <si>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</si>
  <si>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</si>
  <si>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</si>
  <si>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</si>
  <si>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</si>
  <si>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</si>
  <si>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</si>
  <si>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</si>
  <si>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</si>
  <si>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</si>
  <si>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</si>
  <si>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</si>
  <si>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</si>
  <si>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</si>
  <si>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</si>
  <si>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</si>
  <si>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</si>
  <si>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</si>
  <si>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</si>
  <si>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</si>
  <si>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</si>
  <si>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</si>
  <si>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</si>
  <si>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</si>
  <si>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</si>
  <si>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</si>
  <si>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</si>
  <si>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</si>
  <si>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</si>
  <si>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</si>
  <si>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</si>
  <si>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</si>
  <si>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</si>
  <si>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</si>
  <si>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</si>
  <si>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</si>
  <si>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</si>
  <si>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</si>
  <si>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</si>
  <si>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</si>
  <si>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</si>
  <si>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</si>
  <si>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</si>
  <si>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</si>
  <si>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</si>
  <si>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</si>
  <si>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</si>
  <si>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</si>
  <si>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</si>
  <si>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</si>
  <si>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</si>
  <si>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</si>
  <si>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</si>
  <si>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</si>
  <si>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</si>
  <si>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</si>
  <si>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</si>
  <si>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</si>
  <si>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</si>
  <si>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</si>
  <si>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</si>
  <si>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</si>
  <si>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</si>
  <si>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</si>
  <si>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</si>
  <si>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</si>
  <si>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</si>
  <si>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</si>
  <si>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</si>
  <si>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</si>
  <si>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</si>
  <si>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</si>
  <si>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</si>
  <si>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</si>
  <si>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</si>
  <si>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</si>
  <si>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</si>
  <si>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</si>
  <si>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</si>
  <si>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</si>
  <si>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</si>
  <si>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</si>
  <si>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</si>
  <si>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</si>
  <si>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</si>
  <si>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</si>
  <si>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</si>
  <si>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</si>
  <si>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</si>
  <si>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</si>
  <si>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</si>
  <si>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</si>
  <si>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</si>
  <si>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</si>
  <si>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</si>
  <si>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</si>
  <si>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</si>
  <si>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</si>
  <si>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</si>
  <si>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</si>
  <si>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</si>
  <si>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</si>
  <si>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</si>
  <si>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</si>
  <si>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</si>
  <si>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</si>
  <si>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</si>
  <si>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</si>
  <si>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</si>
  <si>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</si>
  <si>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</si>
  <si>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</si>
  <si>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</si>
  <si>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</si>
  <si>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</si>
  <si>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</si>
  <si>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</si>
  <si>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</si>
  <si>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</si>
  <si>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</si>
  <si>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</si>
  <si>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</si>
  <si>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</si>
  <si>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</si>
  <si>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</si>
  <si>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</si>
  <si>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</si>
  <si>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</si>
  <si>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</si>
  <si>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</si>
  <si>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</si>
  <si>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</si>
  <si>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</si>
  <si>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</si>
  <si>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</si>
  <si>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</si>
  <si>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</si>
  <si>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</si>
  <si>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</si>
  <si>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</si>
  <si>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</si>
  <si>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</si>
  <si>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</si>
  <si>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</si>
  <si>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</si>
  <si>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</si>
  <si>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</si>
  <si>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</si>
  <si>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</si>
  <si>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</si>
  <si>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</si>
  <si>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</si>
  <si>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</si>
  <si>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</si>
  <si>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</si>
  <si>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</si>
  <si>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</si>
  <si>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</si>
  <si>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</si>
  <si>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</si>
  <si>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</si>
  <si>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</si>
  <si>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</si>
  <si>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</si>
  <si>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</si>
  <si>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</si>
  <si>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</si>
  <si>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</si>
  <si>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</si>
  <si>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</si>
  <si>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</si>
  <si>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</si>
  <si>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</si>
  <si>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</si>
  <si>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</si>
  <si>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</si>
  <si>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</si>
  <si>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</si>
  <si>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</si>
  <si>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</si>
  <si>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</si>
  <si>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</si>
  <si>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</si>
  <si>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</si>
  <si>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</si>
  <si>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</si>
  <si>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</si>
  <si>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</si>
  <si>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</si>
  <si>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</si>
  <si>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</si>
  <si>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</si>
  <si>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</si>
  <si>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</si>
  <si>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</si>
  <si>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</si>
  <si>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</si>
  <si>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</si>
  <si>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</si>
  <si>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</si>
  <si>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</si>
  <si>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</si>
  <si>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</si>
  <si>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</si>
  <si>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</si>
  <si>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</si>
  <si>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</si>
  <si>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</si>
  <si>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</si>
  <si>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</si>
  <si>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</si>
  <si>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</si>
  <si>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</si>
  <si>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</si>
  <si>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</si>
  <si>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</si>
  <si>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</si>
  <si>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</si>
  <si>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</si>
  <si>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</si>
  <si>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</si>
  <si>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</si>
  <si>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</si>
  <si>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</si>
  <si>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</si>
  <si>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</si>
  <si>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</si>
  <si>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</si>
  <si>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</si>
  <si>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</si>
  <si>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</si>
  <si>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</si>
  <si>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</si>
  <si>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</si>
  <si>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</si>
  <si>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</si>
  <si>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</si>
  <si>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</si>
  <si>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</si>
  <si>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</si>
  <si>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</si>
  <si>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</si>
  <si>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</si>
  <si>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</si>
  <si>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</si>
  <si>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</si>
  <si>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</si>
  <si>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</si>
  <si>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</si>
  <si>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</si>
  <si>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</si>
  <si>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</si>
  <si>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</si>
  <si>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</si>
  <si>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</si>
  <si>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</si>
  <si>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</si>
  <si>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</si>
  <si>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</si>
  <si>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</si>
  <si>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</si>
  <si>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</si>
  <si>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</si>
  <si>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</si>
  <si>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</si>
  <si>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</si>
  <si>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</si>
  <si>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</si>
  <si>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</si>
  <si>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</si>
  <si>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</si>
  <si>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</si>
  <si>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</si>
  <si>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</si>
  <si>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</si>
  <si>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</si>
  <si>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</si>
  <si>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</si>
  <si>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</si>
  <si>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</si>
  <si>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</si>
  <si>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</si>
  <si>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</si>
  <si>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</si>
  <si>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</si>
  <si>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</si>
  <si>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</si>
  <si>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</si>
  <si>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</si>
  <si>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</si>
  <si>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</si>
  <si>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</si>
  <si>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</si>
  <si>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</si>
  <si>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</si>
  <si>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</si>
  <si>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</si>
  <si>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</si>
  <si>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</si>
  <si>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</si>
  <si>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</si>
  <si>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</si>
  <si>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</si>
  <si>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</si>
  <si>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</si>
  <si>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</si>
  <si>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</si>
  <si>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</si>
  <si>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</si>
  <si>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</si>
  <si>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</si>
  <si>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</si>
  <si>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</si>
  <si>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</si>
  <si>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</si>
  <si>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</si>
  <si>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</si>
  <si>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</si>
  <si>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</si>
  <si>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</si>
  <si>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</si>
  <si>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</si>
  <si>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</si>
  <si>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</si>
  <si>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</si>
  <si>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</si>
  <si>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</si>
  <si>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</si>
  <si>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</si>
  <si>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</si>
  <si>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</si>
  <si>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</si>
  <si>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</si>
  <si>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</si>
  <si>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</si>
  <si>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</si>
  <si>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</si>
  <si>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</si>
  <si>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</si>
  <si>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</si>
  <si>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</si>
  <si>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</si>
  <si>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</si>
  <si>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</si>
  <si>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</si>
  <si>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</si>
  <si>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</si>
  <si>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</si>
  <si>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</si>
  <si>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</si>
  <si>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</si>
  <si>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</si>
  <si>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</si>
  <si>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</si>
  <si>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</si>
  <si>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</si>
  <si>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</si>
  <si>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</si>
  <si>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</si>
  <si>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</si>
  <si>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</si>
  <si>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</si>
  <si>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</si>
  <si>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</si>
  <si>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</si>
  <si>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</si>
  <si>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</si>
  <si>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</si>
  <si>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</si>
  <si>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</si>
  <si>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</si>
  <si>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</si>
  <si>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</si>
  <si>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</si>
  <si>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</si>
  <si>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</si>
  <si>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</si>
  <si>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</si>
  <si>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</si>
  <si>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</si>
  <si>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</si>
  <si>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</si>
  <si>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</si>
  <si>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</si>
  <si>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</si>
  <si>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</si>
  <si>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</si>
  <si>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</si>
  <si>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</si>
  <si>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</si>
  <si>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</si>
  <si>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</si>
  <si>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</si>
  <si>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</si>
  <si>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</si>
  <si>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</si>
  <si>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</si>
  <si>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</si>
  <si>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</si>
  <si>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</si>
  <si>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</si>
  <si>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</si>
  <si>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</si>
  <si>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</si>
  <si>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</si>
  <si>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</si>
  <si>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</si>
  <si>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</si>
  <si>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</si>
  <si>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</si>
  <si>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</si>
  <si>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</si>
  <si>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</si>
  <si>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</si>
  <si>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</si>
  <si>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</si>
  <si>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</si>
  <si>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</si>
  <si>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</si>
  <si>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</si>
  <si>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</si>
  <si>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</si>
  <si>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</si>
  <si>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</si>
  <si>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</si>
  <si>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</si>
  <si>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</si>
  <si>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</si>
  <si>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</si>
  <si>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</si>
  <si>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</si>
  <si>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</si>
  <si>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</si>
  <si>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</si>
  <si>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</si>
  <si>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</si>
  <si>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</si>
  <si>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</si>
  <si>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</si>
  <si>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</si>
  <si>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</si>
  <si>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</si>
  <si>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</si>
  <si>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</si>
  <si>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</si>
  <si>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</si>
  <si>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</si>
  <si>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</si>
  <si>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</si>
  <si>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</si>
  <si>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</si>
  <si>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</si>
  <si>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</si>
  <si>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</si>
  <si>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</si>
  <si>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</si>
  <si>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</si>
  <si>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</si>
  <si>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</si>
  <si>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</si>
  <si>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</si>
  <si>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</si>
  <si>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</si>
  <si>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</si>
  <si>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</si>
  <si>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</si>
  <si>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</si>
  <si>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</si>
  <si>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</si>
  <si>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</si>
  <si>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</si>
  <si>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</si>
  <si>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</si>
  <si>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</si>
  <si>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</si>
  <si>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</si>
  <si>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</si>
  <si>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</si>
  <si>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</si>
  <si>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</si>
  <si>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</si>
  <si>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</si>
  <si>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</si>
  <si>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</si>
  <si>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</si>
  <si>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</si>
  <si>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</si>
  <si>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</si>
  <si>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</si>
  <si>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</si>
  <si>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</si>
  <si>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</si>
  <si>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</si>
  <si>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</si>
  <si>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</si>
  <si>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</si>
  <si>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</si>
  <si>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</si>
  <si>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</si>
  <si>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</si>
  <si>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</si>
  <si>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</si>
  <si>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</si>
  <si>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</si>
  <si>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</si>
  <si>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</si>
  <si>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</si>
  <si>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</si>
  <si>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</si>
  <si>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</si>
  <si>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</si>
  <si>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</si>
  <si>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</si>
  <si>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</si>
  <si>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</si>
  <si>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</si>
  <si>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</si>
  <si>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</si>
  <si>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</si>
  <si>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</si>
  <si>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</si>
  <si>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</si>
  <si>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</si>
  <si>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</si>
  <si>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</si>
  <si>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</si>
  <si>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</si>
  <si>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</si>
  <si>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</si>
  <si>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</si>
  <si>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</si>
  <si>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</si>
  <si>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</si>
  <si>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</si>
  <si>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</si>
  <si>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</si>
  <si>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</si>
  <si>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</si>
  <si>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</si>
  <si>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</si>
  <si>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</si>
  <si>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</si>
  <si>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</si>
  <si>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</si>
  <si>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</si>
  <si>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</si>
  <si>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</si>
  <si>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</si>
  <si>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</si>
  <si>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</si>
  <si>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</si>
  <si>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</si>
  <si>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</si>
  <si>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</si>
  <si>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</si>
  <si>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</si>
  <si>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</si>
  <si>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</si>
  <si>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</si>
  <si>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</si>
  <si>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</si>
  <si>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</si>
  <si>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</si>
  <si>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</si>
  <si>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</si>
  <si>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</si>
  <si>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</si>
  <si>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</si>
  <si>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</si>
  <si>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</si>
  <si>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</si>
  <si>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</si>
  <si>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</si>
  <si>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</si>
  <si>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</si>
  <si>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</si>
  <si>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</si>
  <si>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</si>
  <si>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</si>
  <si>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</si>
  <si>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</si>
  <si>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</si>
  <si>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</si>
  <si>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</si>
  <si>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</si>
  <si>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</si>
  <si>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</si>
  <si>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</si>
  <si>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</si>
  <si>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</si>
  <si>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</si>
  <si>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</si>
  <si>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</si>
  <si>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</si>
  <si>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</si>
  <si>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</si>
  <si>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</si>
  <si>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</si>
  <si>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</si>
  <si>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</si>
  <si>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</si>
  <si>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</si>
  <si>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</si>
  <si>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</si>
  <si>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</si>
  <si>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</si>
  <si>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</si>
  <si>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</si>
  <si>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</si>
  <si>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</si>
  <si>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</si>
  <si>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</si>
  <si>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</si>
  <si>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</si>
  <si>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</si>
  <si>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</si>
  <si>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</si>
  <si>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</si>
  <si>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</si>
  <si>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</si>
  <si>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</si>
  <si>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</si>
  <si>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</si>
  <si>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</si>
  <si>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</si>
  <si>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</si>
  <si>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</si>
  <si>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</si>
  <si>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</si>
  <si>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</si>
  <si>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</si>
  <si>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</si>
  <si>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</si>
  <si>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</si>
  <si>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</si>
  <si>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</si>
  <si>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</si>
  <si>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</si>
  <si>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</si>
  <si>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</si>
  <si>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</si>
  <si>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</si>
  <si>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</si>
  <si>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</si>
  <si>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</si>
  <si>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</si>
  <si>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</si>
  <si>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</si>
  <si>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</si>
  <si>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</si>
  <si>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</si>
  <si>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</si>
  <si>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</si>
  <si>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</si>
  <si>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</si>
  <si>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</si>
  <si>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</si>
  <si>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</si>
  <si>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</si>
  <si>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</si>
  <si>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</si>
  <si>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</si>
  <si>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</si>
  <si>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</si>
  <si>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</si>
  <si>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</si>
  <si>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</si>
  <si>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</si>
  <si>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</si>
  <si>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</si>
  <si>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</si>
  <si>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</si>
  <si>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</si>
  <si>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</si>
  <si>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</si>
  <si>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</si>
  <si>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</si>
  <si>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</si>
  <si>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</si>
  <si>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</si>
  <si>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</si>
  <si>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</si>
  <si>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</si>
  <si>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</si>
  <si>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</si>
  <si>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</si>
  <si>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</si>
  <si>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</si>
  <si>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</si>
  <si>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</si>
  <si>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</si>
  <si>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</si>
  <si>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</si>
  <si>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</si>
  <si>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</si>
  <si>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</si>
  <si>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</si>
  <si>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</si>
  <si>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</si>
  <si>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</si>
  <si>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</si>
  <si>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</si>
  <si>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</si>
  <si>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</si>
  <si>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</si>
  <si>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</si>
  <si>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</si>
  <si>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</si>
  <si>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</si>
  <si>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</si>
  <si>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</si>
  <si>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</si>
  <si>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</si>
  <si>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</si>
  <si>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</si>
  <si>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</si>
  <si>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</si>
  <si>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</si>
  <si>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</si>
  <si>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</si>
  <si>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</si>
  <si>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</si>
  <si>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</si>
  <si>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</si>
  <si>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</si>
  <si>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</si>
  <si>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</si>
  <si>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</si>
  <si>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</si>
  <si>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</si>
  <si>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</si>
  <si>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</si>
  <si>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</si>
  <si>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</si>
  <si>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</si>
  <si>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</si>
  <si>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</si>
  <si>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</si>
  <si>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</si>
  <si>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</si>
  <si>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</si>
  <si>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</si>
  <si>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</si>
  <si>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</si>
  <si>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</si>
  <si>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</si>
  <si>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</si>
  <si>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</si>
  <si>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</si>
  <si>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</si>
  <si>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</si>
  <si>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</si>
  <si>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</si>
  <si>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</si>
  <si>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</si>
  <si>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</si>
  <si>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</si>
  <si>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</si>
  <si>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</si>
  <si>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</si>
  <si>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</si>
  <si>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</si>
  <si>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</si>
  <si>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</si>
  <si>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</si>
  <si>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</si>
  <si>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</si>
  <si>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</si>
  <si>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</si>
  <si>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</si>
  <si>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</si>
  <si>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</si>
  <si>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</si>
  <si>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</si>
  <si>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</si>
  <si>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</si>
  <si>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</si>
  <si>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</si>
  <si>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</si>
  <si>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</si>
  <si>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</si>
  <si>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</si>
  <si>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</si>
  <si>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</si>
  <si>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</si>
  <si>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</si>
  <si>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</si>
  <si>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</si>
  <si>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</si>
  <si>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</si>
  <si>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</si>
  <si>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</si>
  <si>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</si>
  <si>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</si>
  <si>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</si>
  <si>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</si>
  <si>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</si>
  <si>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</si>
  <si>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</si>
  <si>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</si>
  <si>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</si>
  <si>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</si>
  <si>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</si>
  <si>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</si>
  <si>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</si>
  <si>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</si>
  <si>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</si>
  <si>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</si>
  <si>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</si>
  <si>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</si>
  <si>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</si>
  <si>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</si>
  <si>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</si>
  <si>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</si>
  <si>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</si>
  <si>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</si>
  <si>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</si>
  <si>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</si>
  <si>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</si>
  <si>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</si>
  <si>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</si>
  <si>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</si>
  <si>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</si>
  <si>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</si>
  <si>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</si>
  <si>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</si>
  <si>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</si>
  <si>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</si>
  <si>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</si>
  <si>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</si>
  <si>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</si>
  <si>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</si>
  <si>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</si>
  <si>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</si>
  <si>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</si>
  <si>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</si>
  <si>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</si>
  <si>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</si>
  <si>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</si>
  <si>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</si>
  <si>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</si>
  <si>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</si>
  <si>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</si>
  <si>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</si>
  <si>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</si>
  <si>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</si>
  <si>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</si>
  <si>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</si>
  <si>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</si>
  <si>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</si>
  <si>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</si>
  <si>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</si>
  <si>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</si>
  <si>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</si>
  <si>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</si>
  <si>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</si>
  <si>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</si>
  <si>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</si>
  <si>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</si>
  <si>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</si>
  <si>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</si>
  <si>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</si>
  <si>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</si>
  <si>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</si>
  <si>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</si>
  <si>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</si>
  <si>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</si>
  <si>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</si>
  <si>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</si>
  <si>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</si>
  <si>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</si>
  <si>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</si>
  <si>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</si>
  <si>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</si>
  <si>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</si>
  <si>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</si>
  <si>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</si>
  <si>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</si>
  <si>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</si>
  <si>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</si>
  <si>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</si>
  <si>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</si>
  <si>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</si>
  <si>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</si>
  <si>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</si>
  <si>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</si>
  <si>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</si>
  <si>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</si>
  <si>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</si>
  <si>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</si>
  <si>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</si>
  <si>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</si>
  <si>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</si>
  <si>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</si>
  <si>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</si>
  <si>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</si>
  <si>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</si>
  <si>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</si>
  <si>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</si>
  <si>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</si>
  <si>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</si>
  <si>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</si>
  <si>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</si>
  <si>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</si>
  <si>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</si>
  <si>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</si>
  <si>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</si>
  <si>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</si>
  <si>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</si>
  <si>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</si>
  <si>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</si>
  <si>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</si>
  <si>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</si>
  <si>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</si>
  <si>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</si>
  <si>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</si>
  <si>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</si>
  <si>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</si>
  <si>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</si>
  <si>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</si>
  <si>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</si>
  <si>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</si>
  <si>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</si>
  <si>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</si>
  <si>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</si>
  <si>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</si>
  <si>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</si>
  <si>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</si>
  <si>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</si>
  <si>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</si>
  <si>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</si>
  <si>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</si>
  <si>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</si>
  <si>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</si>
  <si>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</si>
  <si>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</si>
  <si>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</si>
  <si>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</si>
  <si>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</si>
  <si>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</si>
  <si>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</si>
  <si>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</si>
  <si>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</si>
  <si>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</si>
  <si>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</si>
  <si>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</si>
  <si>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</si>
  <si>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</si>
  <si>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</si>
  <si>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</si>
  <si>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</si>
  <si>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</si>
  <si>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</si>
  <si>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</si>
  <si>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</si>
  <si>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</si>
  <si>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</si>
  <si>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</si>
  <si>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</si>
  <si>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</si>
  <si>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</si>
  <si>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</si>
  <si>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</si>
  <si>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</si>
  <si>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</si>
  <si>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</si>
  <si>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</si>
  <si>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</si>
  <si>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</si>
  <si>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</si>
  <si>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</si>
  <si>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</si>
  <si>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</si>
  <si>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</si>
  <si>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</si>
  <si>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</si>
  <si>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</si>
  <si>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</si>
  <si>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</si>
  <si>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</si>
  <si>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</si>
  <si>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</si>
  <si>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</si>
  <si>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</si>
  <si>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</si>
  <si>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</si>
  <si>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</si>
  <si>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</si>
  <si>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</si>
  <si>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</si>
  <si>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</si>
  <si>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</si>
  <si>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</si>
  <si>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</si>
  <si>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</si>
  <si>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</si>
  <si>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</si>
  <si>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</si>
  <si>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</si>
  <si>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</si>
  <si>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</si>
  <si>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</si>
  <si>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</si>
  <si>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</si>
  <si>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</si>
  <si>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</si>
  <si>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</si>
  <si>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</si>
  <si>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</si>
  <si>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</si>
  <si>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</si>
  <si>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</si>
  <si>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</si>
  <si>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</si>
  <si>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</si>
  <si>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</si>
  <si>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</si>
  <si>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</si>
  <si>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</si>
  <si>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</si>
  <si>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</si>
  <si>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</si>
  <si>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</si>
  <si>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</si>
  <si>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</si>
  <si>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</si>
  <si>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</si>
  <si>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</si>
  <si>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</si>
  <si>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</si>
  <si>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</si>
  <si>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</si>
  <si>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</si>
  <si>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</si>
  <si>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</si>
  <si>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</si>
  <si>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</si>
  <si>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</si>
  <si>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</si>
  <si>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</si>
  <si>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</si>
  <si>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</si>
  <si>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</si>
  <si>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</si>
  <si>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</si>
  <si>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</si>
  <si>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</si>
  <si>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</si>
  <si>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</si>
  <si>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</si>
  <si>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</si>
  <si>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</si>
  <si>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</si>
  <si>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</si>
  <si>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</si>
  <si>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</si>
  <si>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</si>
  <si>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</si>
  <si>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</si>
  <si>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</si>
  <si>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</si>
  <si>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</si>
  <si>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</si>
  <si>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</si>
  <si>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</si>
  <si>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</si>
  <si>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</si>
  <si>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</si>
  <si>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</si>
  <si>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</si>
  <si>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</si>
  <si>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</si>
  <si>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</si>
  <si>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</si>
  <si>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</si>
  <si>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</si>
  <si>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</si>
  <si>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</si>
  <si>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</si>
  <si>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</si>
  <si>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</si>
  <si>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</si>
  <si>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</si>
  <si>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</si>
  <si>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</si>
  <si>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</si>
  <si>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</si>
  <si>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</si>
  <si>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</si>
  <si>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</si>
  <si>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</si>
  <si>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</si>
  <si>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</si>
  <si>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</si>
  <si>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</si>
  <si>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</si>
  <si>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</si>
  <si>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</si>
  <si>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</si>
  <si>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</si>
  <si>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</si>
  <si>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</si>
  <si>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</si>
  <si>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</si>
  <si>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</si>
  <si>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</si>
  <si>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</si>
  <si>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</si>
  <si>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</si>
  <si>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</si>
  <si>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</si>
  <si>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</si>
  <si>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</si>
  <si>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</si>
  <si>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</si>
  <si>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</si>
  <si>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</si>
  <si>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</si>
  <si>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</si>
  <si>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</si>
  <si>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</si>
  <si>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</si>
  <si>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</si>
  <si>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</si>
  <si>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</si>
  <si>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</si>
  <si>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</si>
  <si>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</si>
  <si>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</si>
  <si>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</si>
  <si>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</si>
  <si>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</si>
  <si>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</si>
  <si>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</si>
  <si>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</si>
  <si>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</si>
  <si>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</si>
  <si>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</si>
  <si>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</si>
  <si>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</si>
  <si>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</si>
  <si>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</si>
  <si>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</si>
  <si>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</si>
  <si>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</si>
  <si>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</si>
  <si>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</si>
  <si>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</si>
  <si>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</si>
  <si>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</si>
  <si>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</si>
  <si>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</si>
  <si>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</si>
  <si>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</si>
  <si>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</si>
  <si>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</si>
  <si>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</si>
  <si>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</si>
  <si>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</si>
  <si>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</si>
  <si>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</si>
  <si>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</si>
  <si>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</si>
  <si>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</si>
  <si>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</si>
  <si>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</si>
  <si>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</si>
  <si>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</si>
  <si>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</si>
  <si>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</si>
  <si>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</si>
  <si>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</si>
  <si>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</si>
  <si>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</si>
  <si>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</si>
  <si>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</si>
  <si>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</si>
  <si>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</si>
  <si>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</si>
  <si>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</si>
  <si>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</si>
  <si>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</si>
  <si>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</si>
  <si>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</si>
  <si>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</si>
  <si>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</si>
  <si>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</si>
  <si>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</si>
  <si>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</si>
  <si>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</si>
  <si>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</si>
  <si>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</si>
  <si>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</si>
  <si>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</si>
  <si>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</si>
  <si>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</si>
  <si>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</si>
  <si>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</si>
  <si>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</si>
  <si>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</si>
  <si>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</si>
  <si>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</si>
  <si>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</si>
  <si>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</si>
  <si>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</si>
  <si>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</si>
  <si>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</si>
  <si>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</si>
  <si>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</si>
  <si>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</si>
  <si>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</si>
  <si>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</si>
  <si>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</si>
  <si>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</si>
  <si>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</si>
  <si>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</si>
  <si>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</si>
  <si>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</si>
  <si>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</si>
  <si>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</si>
  <si>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</si>
  <si>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</si>
  <si>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</si>
  <si>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</si>
  <si>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</si>
  <si>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</si>
  <si>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</si>
  <si>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</si>
  <si>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</si>
  <si>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</si>
  <si>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</si>
  <si>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</si>
  <si>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</si>
  <si>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</si>
  <si>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</si>
  <si>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</si>
  <si>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</si>
  <si>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</si>
  <si>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</si>
  <si>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</si>
  <si>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</si>
  <si>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</si>
  <si>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</si>
  <si>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</si>
  <si>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</si>
  <si>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</si>
  <si>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</si>
  <si>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</si>
  <si>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</si>
  <si>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</si>
  <si>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</si>
  <si>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</si>
  <si>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</si>
  <si>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</si>
  <si>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</si>
  <si>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</si>
  <si>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</si>
  <si>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</si>
  <si>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</si>
  <si>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</si>
  <si>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</si>
  <si>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</si>
  <si>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</si>
  <si>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</si>
  <si>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</si>
  <si>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</si>
  <si>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</si>
  <si>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</si>
  <si>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</si>
  <si>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</si>
  <si>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</si>
  <si>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</si>
  <si>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</si>
  <si>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</si>
  <si>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</si>
  <si>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</si>
  <si>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</si>
  <si>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</si>
  <si>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</si>
  <si>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</si>
  <si>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</si>
  <si>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</si>
  <si>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</si>
  <si>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</si>
  <si>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</si>
  <si>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</si>
  <si>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</si>
  <si>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</si>
  <si>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</si>
  <si>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</si>
  <si>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</si>
  <si>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</si>
  <si>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</si>
  <si>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</si>
  <si>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</si>
  <si>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</si>
  <si>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</si>
  <si>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</si>
  <si>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</si>
  <si>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</si>
  <si>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</si>
  <si>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</si>
  <si>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</si>
  <si>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</si>
  <si>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</si>
  <si>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</si>
  <si>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</si>
  <si>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</si>
  <si>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</si>
  <si>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</si>
  <si>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</si>
  <si>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</si>
  <si>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</si>
  <si>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</si>
  <si>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</si>
  <si>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</si>
  <si>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</si>
  <si>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</si>
  <si>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</si>
  <si>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</si>
  <si>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</si>
  <si>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</si>
  <si>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</si>
  <si>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</si>
  <si>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</si>
  <si>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</si>
  <si>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</si>
  <si>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</si>
  <si>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</si>
  <si>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</si>
  <si>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</si>
  <si>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</si>
  <si>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</si>
  <si>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</si>
  <si>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</si>
  <si>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</si>
  <si>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</si>
  <si>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</si>
  <si>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</si>
  <si>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</si>
  <si>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</si>
  <si>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</si>
  <si>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</si>
  <si>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</si>
  <si>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</si>
  <si>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</si>
  <si>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</si>
  <si>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</si>
  <si>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</si>
  <si>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</si>
  <si>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</si>
  <si>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</si>
  <si>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</si>
  <si>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</si>
  <si>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</si>
  <si>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</si>
  <si>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</si>
  <si>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</si>
  <si>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</si>
  <si>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</si>
  <si>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</si>
  <si>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</si>
  <si>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</si>
  <si>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</si>
  <si>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</si>
  <si>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</si>
  <si>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</si>
  <si>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</si>
  <si>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</si>
  <si>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</si>
  <si>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</si>
  <si>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</si>
  <si>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</si>
  <si>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</si>
  <si>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</si>
  <si>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</si>
  <si>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</si>
  <si>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</si>
  <si>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</si>
  <si>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</si>
  <si>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</si>
  <si>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</si>
  <si>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</si>
  <si>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</si>
  <si>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</si>
  <si>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</si>
  <si>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</si>
  <si>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</si>
  <si>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</si>
  <si>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</si>
  <si>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</si>
  <si>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</si>
  <si>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</si>
  <si>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</si>
  <si>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</si>
  <si>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</si>
  <si>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</si>
  <si>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</si>
  <si>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</si>
  <si>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</si>
  <si>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</si>
  <si>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</si>
  <si>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</si>
  <si>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</si>
  <si>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</si>
  <si>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</si>
  <si>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</si>
  <si>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</si>
  <si>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</si>
  <si>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</si>
  <si>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</si>
  <si>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</si>
  <si>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</si>
  <si>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</si>
  <si>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</si>
  <si>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</si>
  <si>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</si>
  <si>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</si>
  <si>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</si>
  <si>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</si>
  <si>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</si>
  <si>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</si>
  <si>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</si>
  <si>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</si>
  <si>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</si>
  <si>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</si>
  <si>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</si>
  <si>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</si>
  <si>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</si>
  <si>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</si>
  <si>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</si>
  <si>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</si>
  <si>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</si>
  <si>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</si>
  <si>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</si>
  <si>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</si>
  <si>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</si>
  <si>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</si>
  <si>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</si>
  <si>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</si>
  <si>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</si>
  <si>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</si>
  <si>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</si>
  <si>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</si>
  <si>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</si>
  <si>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</si>
  <si>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</si>
  <si>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</si>
  <si>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</si>
  <si>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</si>
  <si>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</si>
  <si>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</si>
  <si>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</si>
  <si>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</si>
  <si>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</si>
  <si>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</si>
  <si>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</si>
  <si>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</si>
  <si>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</si>
  <si>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</si>
  <si>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</si>
  <si>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</si>
  <si>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</si>
  <si>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</si>
  <si>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</si>
  <si>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</si>
  <si>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</si>
  <si>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</si>
  <si>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</si>
  <si>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</si>
  <si>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</si>
  <si>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</si>
  <si>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</si>
  <si>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</si>
  <si>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</si>
  <si>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</si>
  <si>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</si>
  <si>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</si>
  <si>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</si>
  <si>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</si>
  <si>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</si>
  <si>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</si>
  <si>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</si>
  <si>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</si>
  <si>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</si>
  <si>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</si>
  <si>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</si>
  <si>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</si>
  <si>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</si>
  <si>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</si>
  <si>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</si>
  <si>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</si>
  <si>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</si>
  <si>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</si>
  <si>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</si>
  <si>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</si>
  <si>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</si>
  <si>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</si>
  <si>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</si>
  <si>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</si>
  <si>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</si>
  <si>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</si>
  <si>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</si>
  <si>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</si>
  <si>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</si>
  <si>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</si>
  <si>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</si>
  <si>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</si>
  <si>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</si>
  <si>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</si>
  <si>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</si>
  <si>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</si>
  <si>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</si>
  <si>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</si>
  <si>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</si>
  <si>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</si>
  <si>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</si>
  <si>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</si>
  <si>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</si>
  <si>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</si>
  <si>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</si>
  <si>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</si>
  <si>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</si>
  <si>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</si>
  <si>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</si>
  <si>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</si>
  <si>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</si>
  <si>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</si>
  <si>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</si>
  <si>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</si>
  <si>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</si>
  <si>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</si>
  <si>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</si>
  <si>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</si>
  <si>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</si>
  <si>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</si>
  <si>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</si>
  <si>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</si>
  <si>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</si>
  <si>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</si>
  <si>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</si>
  <si>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</si>
  <si>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</si>
  <si>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</si>
  <si>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</si>
  <si>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</si>
  <si>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</si>
  <si>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</si>
  <si>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</si>
  <si>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</si>
  <si>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</si>
  <si>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</si>
  <si>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</si>
  <si>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</si>
  <si>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</si>
  <si>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</si>
  <si>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</si>
  <si>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</si>
  <si>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</si>
  <si>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</si>
  <si>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</si>
  <si>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</si>
  <si>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</si>
  <si>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</si>
  <si>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</si>
  <si>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</si>
  <si>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</si>
  <si>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</si>
  <si>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</si>
  <si>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</si>
  <si>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</si>
  <si>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</si>
  <si>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</si>
  <si>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</si>
  <si>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</si>
  <si>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</si>
  <si>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</si>
  <si>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</si>
  <si>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</si>
  <si>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</si>
  <si>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</si>
  <si>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</si>
  <si>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</si>
  <si>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</si>
  <si>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</si>
  <si>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</si>
  <si>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</si>
  <si>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</si>
  <si>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</si>
  <si>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</si>
  <si>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</si>
  <si>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</si>
  <si>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</si>
  <si>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</si>
  <si>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</si>
  <si>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</si>
  <si>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</si>
  <si>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</si>
  <si>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</si>
  <si>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</si>
  <si>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</si>
  <si>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</si>
  <si>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</si>
  <si>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</si>
  <si>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</si>
  <si>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</si>
  <si>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</si>
  <si>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</si>
  <si>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</si>
  <si>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</si>
  <si>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</si>
  <si>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</si>
  <si>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</si>
  <si>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</si>
  <si>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</si>
  <si>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</si>
  <si>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</si>
  <si>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</si>
  <si>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</si>
  <si>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</si>
  <si>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</si>
  <si>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</si>
  <si>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</si>
  <si>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</si>
  <si>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</si>
  <si>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</si>
  <si>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</si>
  <si>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</si>
  <si>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</si>
  <si>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</si>
  <si>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</si>
  <si>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</si>
  <si>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</si>
  <si>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</si>
  <si>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</si>
  <si>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</si>
  <si>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</si>
  <si>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</si>
  <si>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</si>
  <si>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</si>
  <si>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</si>
  <si>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</si>
  <si>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</si>
  <si>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</si>
  <si>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</si>
  <si>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</si>
  <si>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</si>
  <si>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</si>
  <si>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</si>
  <si>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</si>
  <si>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</si>
  <si>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</si>
  <si>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</si>
  <si>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</si>
  <si>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</si>
  <si>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</si>
  <si>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</si>
  <si>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</si>
  <si>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</si>
  <si>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</si>
  <si>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</si>
  <si>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</si>
  <si>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</si>
  <si>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</si>
  <si>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</si>
  <si>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</si>
  <si>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</si>
  <si>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</si>
  <si>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</si>
  <si>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</si>
  <si>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</si>
  <si>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</si>
  <si>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</si>
  <si>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</si>
  <si>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</si>
  <si>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</si>
  <si>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</si>
  <si>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</si>
  <si>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</si>
  <si>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</si>
  <si>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</si>
  <si>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</si>
  <si>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</si>
  <si>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</si>
  <si>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</si>
  <si>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</si>
  <si>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</si>
  <si>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</si>
  <si>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</si>
  <si>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</si>
  <si>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</si>
  <si>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</si>
  <si>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</si>
  <si>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</si>
  <si>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</si>
  <si>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</si>
  <si>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</si>
  <si>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</si>
  <si>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</si>
  <si>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</si>
  <si>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</si>
  <si>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</si>
  <si>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</si>
  <si>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</si>
  <si>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</si>
  <si>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</si>
  <si>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</si>
  <si>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</si>
  <si>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</si>
  <si>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</si>
  <si>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</si>
  <si>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</si>
  <si>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</si>
  <si>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</si>
  <si>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</si>
  <si>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</si>
  <si>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</si>
  <si>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</si>
  <si>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</si>
  <si>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</si>
  <si>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</si>
  <si>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</si>
  <si>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</si>
  <si>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</si>
  <si>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</si>
  <si>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</si>
  <si>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</si>
  <si>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</si>
  <si>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</si>
  <si>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</si>
  <si>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</si>
  <si>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</si>
  <si>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</si>
  <si>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</si>
  <si>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</si>
  <si>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</si>
  <si>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</si>
  <si>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</si>
  <si>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</si>
  <si>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</si>
  <si>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</si>
  <si>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</si>
  <si>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</si>
  <si>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</si>
  <si>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</si>
  <si>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</si>
  <si>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</si>
  <si>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</si>
  <si>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</si>
  <si>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</si>
  <si>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</si>
  <si>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</si>
  <si>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</si>
  <si>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</si>
  <si>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</si>
  <si>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</si>
  <si>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</si>
  <si>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</si>
  <si>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</si>
  <si>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</si>
  <si>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</si>
  <si>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</si>
  <si>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</si>
  <si>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</si>
  <si>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</si>
  <si>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</si>
  <si>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</si>
  <si>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</si>
  <si>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</si>
  <si>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</si>
  <si>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</si>
  <si>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</si>
  <si>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</si>
  <si>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</si>
  <si>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</si>
  <si>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</si>
  <si>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</si>
  <si>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</si>
  <si>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</si>
  <si>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</si>
  <si>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</si>
  <si>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</si>
  <si>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</si>
  <si>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</si>
  <si>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</si>
  <si>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</si>
  <si>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</si>
  <si>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</si>
  <si>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</si>
  <si>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</si>
  <si>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</si>
  <si>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</si>
  <si>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</si>
  <si>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</si>
  <si>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</si>
  <si>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</si>
  <si>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</si>
  <si>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</si>
  <si>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</si>
  <si>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</si>
  <si>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</si>
  <si>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</si>
  <si>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</si>
  <si>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</si>
  <si>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</si>
  <si>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</si>
  <si>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</si>
  <si>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</si>
  <si>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</si>
  <si>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</si>
  <si>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</si>
  <si>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</si>
  <si>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</si>
  <si>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</si>
  <si>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</si>
  <si>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</si>
  <si>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</si>
  <si>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</si>
  <si>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</si>
  <si>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</si>
  <si>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</si>
  <si>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</si>
  <si>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</si>
  <si>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</si>
  <si>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</si>
  <si>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</si>
  <si>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</si>
  <si>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</si>
  <si>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</si>
  <si>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</si>
  <si>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</si>
  <si>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</si>
  <si>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</si>
  <si>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</si>
  <si>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</si>
  <si>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</si>
  <si>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</si>
  <si>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</si>
  <si>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</si>
  <si>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</si>
  <si>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</si>
  <si>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</si>
  <si>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</si>
  <si>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</si>
  <si>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</si>
  <si>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</si>
  <si>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</si>
  <si>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</si>
  <si>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</si>
  <si>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</si>
  <si>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</si>
  <si>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</si>
  <si>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</si>
  <si>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</si>
  <si>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</si>
  <si>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</si>
  <si>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</si>
  <si>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</si>
  <si>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</si>
  <si>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</si>
  <si>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</si>
  <si>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</si>
  <si>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</si>
  <si>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</si>
  <si>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</si>
  <si>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</si>
  <si>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</si>
  <si>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</si>
  <si>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</si>
  <si>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</si>
  <si>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</si>
  <si>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</si>
  <si>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</si>
  <si>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</si>
  <si>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</si>
  <si>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</si>
  <si>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</si>
  <si>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</si>
  <si>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</si>
  <si>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</si>
  <si>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</si>
  <si>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</si>
  <si>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</si>
  <si>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</si>
  <si>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</si>
  <si>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</si>
  <si>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</si>
  <si>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</si>
  <si>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</si>
  <si>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</si>
  <si>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</si>
  <si>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</si>
  <si>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</si>
  <si>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</si>
  <si>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</si>
  <si>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</si>
  <si>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</si>
  <si>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</si>
  <si>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</si>
  <si>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</si>
  <si>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</si>
  <si>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</si>
  <si>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</si>
  <si>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</si>
  <si>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</si>
  <si>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</si>
  <si>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</si>
  <si>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</si>
  <si>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</si>
  <si>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</si>
  <si>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</si>
  <si>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</si>
  <si>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</si>
  <si>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</si>
  <si>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</si>
  <si>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</si>
  <si>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</si>
  <si>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</si>
  <si>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</si>
  <si>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</si>
  <si>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</si>
  <si>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</si>
  <si>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</si>
  <si>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</si>
  <si>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</si>
  <si>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</si>
  <si>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</si>
  <si>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</si>
  <si>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</si>
  <si>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</si>
  <si>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</si>
  <si>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</si>
  <si>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</si>
  <si>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</si>
  <si>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</si>
  <si>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</si>
  <si>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</si>
  <si>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</si>
  <si>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</si>
  <si>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</si>
  <si>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</si>
  <si>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</si>
  <si>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</si>
  <si>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</si>
  <si>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</si>
  <si>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</si>
  <si>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</si>
  <si>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</si>
  <si>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</si>
  <si>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</si>
  <si>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</si>
  <si>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</si>
  <si>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</si>
  <si>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</si>
  <si>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</si>
  <si>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</si>
  <si>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</si>
  <si>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</si>
  <si>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</si>
  <si>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</si>
  <si>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</si>
  <si>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</si>
  <si>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</si>
  <si>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</si>
  <si>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</si>
  <si>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</si>
  <si>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</si>
  <si>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</si>
  <si>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</si>
  <si>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</si>
  <si>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</si>
  <si>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</si>
  <si>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</si>
  <si>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</si>
  <si>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</si>
  <si>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</si>
  <si>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</si>
  <si>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</si>
  <si>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</si>
  <si>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</si>
  <si>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</si>
  <si>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</si>
  <si>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</si>
  <si>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</si>
  <si>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</si>
  <si>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</si>
  <si>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</si>
  <si>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</si>
  <si>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</si>
  <si>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</si>
  <si>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</si>
  <si>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</si>
  <si>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</si>
  <si>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</si>
  <si>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</si>
  <si>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</si>
  <si>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</si>
  <si>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</si>
  <si>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</si>
  <si>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</si>
  <si>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</si>
  <si>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</si>
  <si>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</si>
  <si>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</si>
  <si>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</si>
  <si>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</si>
  <si>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</si>
  <si>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</si>
  <si>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</si>
  <si>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</si>
  <si>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</si>
  <si>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</si>
  <si>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</si>
  <si>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</si>
  <si>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</si>
  <si>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</si>
  <si>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</si>
  <si>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</si>
  <si>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</si>
  <si>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</si>
  <si>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</si>
  <si>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</si>
  <si>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</si>
  <si>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</si>
  <si>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</si>
  <si>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</si>
  <si>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</si>
  <si>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</si>
  <si>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</si>
  <si>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</si>
  <si>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</si>
  <si>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</si>
  <si>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</si>
  <si>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</si>
  <si>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</si>
  <si>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</si>
  <si>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</si>
  <si>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</si>
  <si>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</si>
  <si>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</si>
  <si>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</si>
  <si>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</si>
  <si>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</si>
  <si>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</si>
  <si>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</si>
  <si>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</si>
  <si>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</si>
  <si>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</si>
  <si>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</si>
  <si>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</si>
  <si>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</si>
  <si>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</si>
  <si>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</si>
  <si>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</si>
  <si>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</si>
  <si>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</si>
  <si>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</si>
  <si>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</si>
  <si>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</si>
  <si>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</si>
  <si>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</si>
  <si>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</si>
  <si>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</si>
  <si>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</si>
  <si>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</si>
  <si>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</si>
  <si>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</si>
  <si>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</si>
  <si>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</si>
  <si>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</si>
  <si>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</si>
  <si>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</si>
  <si>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</si>
  <si>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</si>
  <si>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</si>
  <si>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</si>
  <si>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</si>
  <si>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</si>
  <si>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</si>
  <si>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</si>
  <si>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</si>
  <si>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</si>
  <si>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</si>
  <si>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</si>
  <si>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</si>
  <si>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</si>
  <si>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</si>
  <si>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</si>
  <si>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</si>
  <si>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</si>
  <si>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</si>
  <si>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</si>
  <si>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</si>
  <si>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</si>
  <si>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</si>
  <si>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</si>
  <si>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</si>
  <si>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</si>
  <si>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</si>
  <si>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</si>
  <si>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</si>
  <si>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</si>
  <si>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</si>
  <si>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</si>
  <si>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</si>
  <si>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</si>
  <si>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</si>
  <si>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</si>
  <si>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</si>
  <si>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</si>
  <si>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</si>
  <si>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</si>
  <si>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</si>
  <si>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</si>
  <si>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</si>
  <si>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</si>
  <si>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</si>
  <si>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</si>
  <si>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</si>
  <si>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</si>
  <si>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</si>
  <si>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</si>
  <si>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</si>
  <si>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</si>
  <si>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</si>
  <si>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</si>
  <si>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</si>
  <si>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</si>
  <si>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</si>
  <si>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</si>
  <si>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</si>
  <si>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</si>
  <si>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</si>
  <si>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</si>
  <si>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</si>
  <si>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</si>
  <si>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</si>
  <si>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</si>
  <si>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</si>
  <si>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</si>
  <si>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</si>
  <si>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</si>
  <si>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</si>
  <si>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</si>
  <si>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</si>
  <si>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</si>
  <si>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</si>
  <si>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</si>
  <si>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</si>
  <si>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</si>
  <si>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</si>
  <si>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</si>
  <si>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</si>
  <si>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</si>
  <si>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</si>
  <si>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</si>
  <si>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</si>
  <si>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</si>
  <si>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</si>
  <si>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</si>
  <si>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</si>
  <si>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</si>
  <si>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</si>
  <si>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</si>
  <si>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</si>
  <si>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</si>
  <si>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</si>
  <si>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</si>
  <si>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</si>
  <si>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</si>
  <si>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</si>
  <si>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</si>
  <si>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</si>
  <si>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</si>
  <si>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</si>
  <si>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</si>
  <si>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</si>
  <si>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</si>
  <si>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</si>
  <si>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</si>
  <si>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</si>
  <si>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</si>
  <si>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</si>
  <si>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</si>
  <si>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</si>
  <si>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</si>
  <si>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</si>
  <si>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</si>
  <si>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</si>
  <si>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</si>
  <si>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</si>
  <si>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</si>
  <si>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</si>
  <si>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</si>
  <si>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</si>
  <si>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</si>
  <si>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</si>
  <si>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</si>
  <si>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</si>
  <si>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</si>
  <si>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</si>
  <si>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</si>
  <si>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</si>
  <si>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</si>
  <si>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</si>
  <si>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</si>
  <si>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</si>
  <si>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</si>
  <si>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</si>
  <si>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</si>
  <si>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</si>
  <si>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</si>
  <si>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</si>
  <si>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</si>
  <si>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</si>
  <si>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</si>
  <si>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</si>
  <si>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</si>
  <si>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</si>
  <si>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</si>
  <si>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</si>
  <si>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</si>
  <si>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</si>
  <si>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</si>
  <si>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</si>
  <si>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</si>
  <si>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</si>
  <si>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</si>
  <si>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</si>
  <si>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</si>
  <si>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</si>
  <si>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</si>
  <si>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</si>
  <si>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</si>
  <si>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</si>
  <si>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</si>
  <si>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</si>
  <si>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</si>
  <si>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</si>
  <si>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</si>
  <si>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</si>
  <si>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</si>
  <si>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</si>
  <si>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</si>
  <si>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</si>
  <si>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</si>
  <si>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</si>
  <si>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</si>
  <si>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</si>
  <si>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</si>
  <si>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</si>
  <si>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</si>
  <si>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</si>
  <si>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</si>
  <si>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</si>
  <si>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</si>
  <si>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</si>
  <si>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</si>
  <si>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</si>
  <si>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</si>
  <si>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</si>
  <si>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</si>
  <si>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</si>
  <si>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</si>
  <si>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</si>
  <si>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</si>
  <si>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</si>
  <si>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</si>
  <si>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</si>
  <si>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</si>
  <si>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</si>
  <si>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</si>
  <si>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</si>
  <si>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</si>
  <si>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</si>
  <si>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</si>
  <si>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</si>
  <si>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</si>
  <si>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</si>
  <si>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</si>
  <si>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</si>
  <si>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</si>
  <si>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</si>
  <si>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</si>
  <si>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</si>
  <si>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</si>
  <si>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</si>
  <si>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</si>
  <si>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</si>
  <si>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</si>
  <si>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</si>
  <si>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</si>
  <si>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</si>
  <si>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</si>
  <si>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</si>
  <si>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</si>
  <si>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</si>
  <si>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</si>
  <si>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</si>
  <si>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</si>
  <si>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</si>
  <si>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</si>
  <si>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</si>
  <si>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</si>
  <si>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</si>
  <si>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</si>
  <si>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</si>
  <si>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</si>
  <si>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</si>
  <si>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</si>
  <si>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</si>
  <si>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</si>
  <si>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</si>
  <si>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</si>
  <si>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</si>
  <si>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</si>
  <si>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</si>
  <si>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</si>
  <si>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</si>
  <si>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</si>
  <si>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</si>
  <si>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</si>
  <si>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</si>
  <si>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</si>
  <si>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</si>
  <si>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</si>
  <si>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</si>
  <si>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</si>
  <si>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</si>
  <si>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</si>
  <si>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</si>
  <si>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</si>
  <si>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</si>
  <si>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</si>
  <si>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</si>
  <si>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</si>
  <si>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</si>
  <si>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</si>
  <si>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</si>
  <si>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</si>
  <si>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</si>
  <si>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</si>
  <si>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</si>
  <si>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</si>
  <si>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</si>
  <si>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</si>
  <si>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</si>
  <si>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</si>
  <si>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</si>
  <si>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</si>
  <si>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</si>
  <si>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</si>
  <si>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</si>
  <si>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</si>
  <si>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</si>
  <si>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</si>
  <si>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</si>
  <si>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</si>
  <si>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</si>
  <si>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</si>
  <si>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</si>
  <si>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</si>
  <si>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</si>
  <si>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</si>
  <si>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</si>
  <si>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</si>
  <si>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</si>
  <si>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</si>
  <si>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</si>
  <si>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</si>
  <si>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</si>
  <si>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</si>
  <si>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</si>
  <si>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</si>
  <si>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</si>
  <si>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</si>
  <si>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</si>
  <si>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</si>
  <si>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</si>
  <si>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</si>
  <si>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</si>
  <si>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</si>
  <si>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</si>
  <si>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</si>
  <si>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</si>
  <si>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</si>
  <si>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</si>
  <si>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</si>
  <si>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</si>
  <si>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</si>
  <si>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</si>
  <si>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</si>
  <si>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</si>
  <si>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</si>
  <si>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</si>
  <si>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</si>
  <si>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</si>
  <si>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</si>
  <si>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</si>
  <si>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</si>
  <si>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</si>
  <si>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</si>
  <si>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</si>
  <si>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</si>
  <si>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</si>
  <si>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</si>
  <si>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</si>
  <si>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</si>
  <si>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</si>
  <si>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</si>
  <si>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</si>
  <si>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</si>
  <si>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</si>
  <si>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</si>
  <si>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</si>
  <si>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</si>
  <si>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</si>
  <si>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</si>
  <si>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</si>
  <si>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</si>
  <si>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</si>
  <si>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</si>
  <si>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</si>
  <si>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</si>
  <si>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</si>
  <si>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</si>
  <si>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</si>
  <si>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</si>
  <si>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</si>
  <si>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</si>
  <si>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</si>
  <si>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</si>
  <si>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</si>
  <si>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</si>
  <si>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</si>
  <si>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</si>
  <si>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</si>
  <si>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</si>
  <si>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</si>
  <si>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</si>
  <si>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</si>
  <si>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</si>
  <si>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</si>
  <si>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</si>
  <si>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</si>
  <si>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</si>
  <si>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</si>
  <si>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</si>
  <si>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</si>
  <si>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</si>
  <si>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</si>
  <si>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</si>
  <si>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</si>
  <si>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</si>
  <si>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</si>
  <si>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</si>
  <si>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</si>
  <si>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</si>
  <si>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</si>
  <si>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</si>
  <si>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</si>
  <si>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</si>
  <si>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</si>
  <si>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</si>
  <si>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</si>
  <si>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</si>
  <si>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</si>
  <si>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</si>
  <si>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</si>
  <si>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</si>
  <si>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</si>
  <si>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</si>
  <si>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</si>
  <si>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</si>
  <si>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</si>
  <si>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</si>
  <si>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</si>
  <si>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</si>
  <si>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</si>
  <si>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</si>
  <si>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</si>
  <si>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</si>
  <si>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</si>
  <si>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</si>
  <si>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</si>
  <si>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</si>
  <si>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</si>
  <si>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</si>
  <si>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</si>
  <si>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</si>
  <si>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</si>
  <si>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</si>
  <si>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</si>
  <si>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</si>
  <si>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</si>
  <si>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</si>
  <si>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</si>
  <si>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</si>
  <si>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</si>
  <si>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</si>
  <si>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</si>
  <si>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</si>
  <si>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</si>
  <si>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</si>
  <si>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</si>
  <si>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</si>
  <si>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</si>
  <si>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</si>
  <si>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</si>
  <si>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</si>
  <si>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</si>
  <si>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</si>
  <si>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</si>
  <si>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</si>
  <si>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</si>
  <si>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</si>
  <si>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</si>
  <si>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</si>
  <si>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</si>
  <si>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</si>
  <si>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</si>
  <si>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</si>
  <si>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</si>
  <si>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</si>
  <si>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</si>
  <si>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</si>
  <si>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</si>
  <si>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</si>
  <si>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</si>
  <si>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</si>
  <si>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</si>
  <si>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</si>
  <si>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</si>
  <si>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</si>
  <si>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</si>
  <si>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</si>
  <si>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</si>
  <si>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</si>
  <si>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</si>
  <si>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</si>
  <si>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</si>
  <si>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</si>
  <si>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</si>
  <si>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</si>
  <si>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</si>
  <si>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</si>
  <si>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</si>
  <si>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</si>
  <si>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</si>
  <si>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</si>
  <si>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</si>
  <si>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</si>
  <si>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</si>
  <si>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</si>
  <si>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</si>
  <si>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</si>
  <si>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</si>
  <si>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</si>
  <si>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</si>
  <si>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</si>
  <si>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</si>
  <si>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</si>
  <si>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</si>
  <si>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</si>
  <si>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</si>
  <si>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</si>
  <si>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</si>
  <si>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</si>
  <si>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</si>
  <si>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</si>
  <si>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</si>
  <si>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</si>
  <si>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</si>
  <si>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</si>
  <si>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</si>
  <si>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</si>
  <si>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</si>
  <si>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</si>
  <si>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</si>
  <si>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</si>
  <si>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</si>
  <si>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</si>
  <si>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</si>
  <si>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</si>
  <si>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</si>
  <si>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</si>
  <si>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</si>
  <si>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</si>
  <si>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</si>
  <si>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</si>
  <si>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</si>
  <si>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</si>
  <si>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</si>
  <si>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</si>
  <si>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</si>
  <si>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</si>
  <si>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</si>
  <si>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</si>
  <si>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</si>
  <si>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</si>
  <si>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</si>
  <si>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</si>
  <si>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</si>
  <si>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</si>
  <si>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</si>
  <si>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</si>
  <si>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</si>
  <si>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</si>
  <si>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</si>
  <si>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</si>
  <si>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</si>
  <si>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</si>
  <si>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</si>
  <si>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</si>
  <si>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</si>
  <si>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</si>
  <si>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</si>
  <si>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</si>
  <si>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</si>
  <si>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</si>
  <si>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</si>
  <si>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</si>
  <si>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</si>
  <si>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</si>
  <si>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</si>
  <si>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</si>
  <si>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</si>
  <si>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</si>
  <si>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</si>
  <si>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</si>
  <si>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</si>
  <si>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</si>
  <si>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</si>
  <si>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</si>
  <si>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</si>
  <si>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</si>
  <si>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</si>
  <si>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</si>
  <si>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</si>
  <si>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</si>
  <si>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</si>
  <si>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</si>
  <si>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</si>
  <si>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</si>
  <si>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</si>
  <si>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</si>
  <si>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</si>
  <si>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</si>
  <si>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</si>
  <si>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</si>
  <si>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</si>
  <si>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</si>
  <si>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</si>
  <si>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</si>
  <si>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</si>
  <si>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</si>
  <si>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</si>
  <si>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</si>
  <si>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</si>
  <si>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</si>
  <si>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</si>
  <si>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</si>
  <si>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</si>
  <si>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</si>
  <si>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</si>
  <si>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</si>
  <si>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</si>
  <si>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</si>
  <si>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</si>
  <si>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</si>
  <si>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</si>
  <si>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</si>
  <si>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</si>
  <si>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</si>
  <si>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</si>
  <si>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</si>
  <si>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</si>
  <si>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</si>
  <si>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</si>
  <si>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</si>
  <si>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</si>
  <si>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</si>
  <si>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</si>
  <si>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</si>
  <si>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</si>
  <si>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</si>
  <si>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</si>
  <si>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</si>
  <si>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</si>
  <si>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</si>
  <si>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</si>
  <si>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</si>
  <si>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</si>
  <si>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</si>
  <si>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</si>
  <si>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</si>
  <si>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</si>
  <si>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</si>
  <si>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</si>
  <si>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</si>
  <si>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</si>
  <si>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</si>
  <si>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</si>
  <si>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</si>
  <si>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</si>
  <si>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</si>
  <si>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</si>
  <si>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</si>
  <si>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</si>
  <si>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</si>
  <si>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</si>
  <si>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</si>
  <si>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</si>
  <si>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</si>
  <si>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</si>
  <si>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</si>
  <si>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</si>
  <si>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</si>
  <si>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</si>
  <si>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</si>
  <si>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</si>
  <si>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</si>
  <si>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</si>
  <si>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</si>
  <si>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</si>
  <si>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</si>
  <si>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</si>
  <si>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</si>
  <si>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</si>
  <si>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</si>
  <si>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</si>
  <si>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</si>
  <si>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</si>
  <si>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</si>
  <si>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</si>
  <si>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</si>
  <si>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</si>
  <si>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</si>
  <si>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</si>
  <si>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</si>
  <si>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</si>
  <si>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</si>
  <si>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</si>
  <si>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</si>
  <si>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</si>
  <si>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</si>
  <si>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</si>
  <si>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</si>
  <si>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</si>
  <si>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</si>
  <si>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</si>
  <si>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</si>
  <si>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</si>
  <si>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</si>
  <si>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</si>
  <si>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</si>
  <si>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</si>
  <si>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</si>
  <si>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</si>
  <si>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</si>
  <si>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</si>
  <si>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</si>
  <si>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</si>
  <si>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</si>
  <si>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</si>
  <si>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</si>
  <si>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</si>
  <si>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</si>
  <si>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</si>
  <si>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</si>
  <si>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</si>
  <si>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</si>
  <si>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</si>
  <si>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</si>
  <si>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</si>
  <si>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</si>
  <si>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</si>
  <si>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</si>
  <si>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</si>
  <si>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</si>
  <si>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</si>
  <si>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</si>
  <si>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</si>
  <si>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</si>
  <si>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</si>
  <si>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</si>
  <si>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</si>
  <si>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</si>
  <si>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</si>
  <si>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</si>
  <si>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</si>
  <si>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</si>
  <si>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</si>
  <si>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</si>
  <si>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</si>
  <si>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</si>
  <si>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</si>
  <si>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</si>
  <si>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</si>
  <si>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</si>
  <si>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</si>
  <si>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</si>
  <si>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</si>
  <si>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</si>
  <si>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</si>
  <si>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</si>
  <si>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</si>
  <si>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</si>
  <si>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</si>
  <si>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</si>
  <si>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</si>
  <si>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</si>
  <si>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</si>
  <si>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</si>
  <si>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</si>
  <si>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</si>
  <si>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</si>
  <si>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</si>
  <si>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</si>
  <si>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</si>
  <si>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</si>
  <si>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</si>
  <si>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</si>
  <si>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</si>
  <si>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</si>
  <si>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</si>
  <si>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</si>
  <si>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</si>
  <si>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</si>
  <si>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</si>
  <si>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</si>
  <si>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</si>
  <si>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</si>
  <si>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</si>
  <si>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</si>
  <si>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</si>
  <si>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</si>
  <si>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</si>
  <si>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</si>
  <si>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</si>
  <si>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</si>
  <si>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</si>
  <si>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</si>
  <si>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</si>
  <si>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</si>
  <si>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</si>
  <si>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</si>
  <si>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</si>
  <si>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</si>
  <si>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</si>
  <si>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</si>
  <si>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</si>
  <si>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</si>
  <si>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</si>
  <si>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</si>
  <si>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</si>
  <si>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</si>
  <si>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</si>
  <si>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</si>
  <si>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</si>
  <si>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</si>
  <si>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</si>
  <si>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</si>
  <si>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</si>
  <si>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</si>
  <si>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</si>
  <si>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</si>
  <si>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</si>
  <si>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</si>
  <si>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</si>
  <si>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</si>
  <si>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</si>
  <si>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</si>
  <si>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</si>
  <si>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</si>
  <si>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</si>
  <si>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</si>
  <si>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</si>
  <si>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</si>
  <si>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</si>
  <si>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</si>
  <si>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</si>
  <si>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</si>
  <si>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</si>
  <si>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</si>
  <si>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</si>
  <si>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</si>
  <si>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</si>
  <si>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</si>
  <si>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</si>
  <si>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</si>
  <si>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</si>
  <si>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</si>
  <si>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</si>
  <si>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</si>
  <si>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</si>
  <si>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</si>
  <si>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</si>
  <si>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</si>
  <si>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</si>
  <si>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</si>
  <si>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</si>
  <si>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</si>
  <si>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</si>
  <si>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</si>
  <si>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</si>
  <si>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</si>
  <si>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</si>
  <si>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</si>
  <si>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</si>
  <si>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</si>
  <si>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</si>
  <si>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</si>
  <si>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</si>
  <si>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</si>
  <si>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</si>
  <si>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</si>
  <si>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</si>
  <si>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</si>
  <si>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</si>
  <si>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</si>
  <si>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</si>
  <si>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</si>
  <si>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</si>
  <si>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</si>
  <si>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</si>
  <si>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</si>
  <si>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</si>
  <si>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</si>
  <si>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</si>
  <si>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</si>
  <si>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</si>
  <si>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</si>
  <si>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</si>
  <si>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</si>
  <si>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</si>
  <si>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</si>
  <si>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</si>
  <si>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</si>
  <si>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</si>
  <si>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</si>
  <si>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</si>
  <si>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</si>
  <si>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</si>
  <si>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</si>
  <si>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</si>
  <si>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</si>
  <si>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</si>
  <si>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</si>
  <si>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</si>
  <si>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</si>
  <si>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</si>
  <si>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</si>
  <si>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</si>
  <si>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</si>
  <si>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</si>
  <si>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</si>
  <si>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</si>
  <si>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</si>
  <si>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</si>
  <si>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</si>
  <si>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</si>
  <si>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</si>
  <si>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</si>
  <si>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</si>
  <si>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</si>
  <si>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</si>
  <si>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</si>
  <si>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</si>
  <si>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</si>
  <si>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</si>
  <si>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</si>
  <si>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</si>
  <si>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</si>
  <si>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</si>
  <si>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</si>
  <si>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</si>
  <si>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</si>
  <si>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</si>
  <si>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</si>
  <si>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</si>
  <si>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</si>
  <si>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</si>
  <si>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</si>
  <si>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</si>
  <si>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</si>
  <si>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</si>
  <si>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</si>
  <si>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</si>
  <si>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</si>
  <si>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</si>
  <si>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</si>
  <si>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</si>
  <si>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</si>
  <si>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</si>
  <si>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</si>
  <si>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</si>
  <si>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</si>
  <si>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</si>
  <si>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</si>
  <si>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</si>
  <si>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</si>
  <si>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</si>
  <si>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</si>
  <si>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</si>
  <si>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</si>
  <si>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</si>
  <si>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</si>
  <si>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</si>
  <si>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</si>
  <si>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</si>
  <si>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</si>
  <si>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</si>
  <si>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</si>
  <si>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</si>
  <si>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</si>
  <si>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</si>
  <si>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</si>
  <si>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</si>
  <si>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</si>
  <si>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</si>
  <si>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</si>
  <si>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</si>
  <si>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</si>
  <si>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</si>
  <si>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</si>
  <si>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</si>
  <si>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</si>
  <si>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</si>
  <si>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</si>
  <si>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</si>
  <si>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</si>
  <si>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</si>
  <si>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</si>
  <si>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</si>
  <si>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</si>
  <si>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</si>
  <si>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</si>
  <si>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</si>
  <si>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</si>
  <si>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</si>
  <si>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</si>
  <si>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</si>
  <si>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</si>
  <si>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</si>
  <si>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</si>
  <si>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</si>
  <si>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</si>
  <si>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</si>
  <si>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</si>
  <si>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</si>
  <si>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</si>
  <si>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</si>
  <si>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</si>
  <si>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</si>
  <si>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</si>
  <si>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</si>
  <si>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</si>
  <si>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</si>
  <si>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</si>
  <si>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</si>
  <si>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</si>
  <si>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</si>
  <si>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</si>
  <si>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</si>
  <si>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</si>
  <si>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</si>
  <si>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</si>
  <si>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</si>
  <si>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</si>
  <si>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</si>
  <si>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</si>
  <si>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</si>
  <si>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</si>
  <si>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</si>
  <si>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</si>
  <si>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</si>
  <si>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</si>
  <si>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</si>
  <si>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</si>
  <si>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</si>
  <si>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</si>
  <si>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</si>
  <si>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</si>
  <si>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</si>
  <si>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</si>
  <si>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</si>
  <si>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</si>
  <si>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</si>
  <si>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</si>
  <si>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</si>
  <si>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</si>
  <si>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</si>
  <si>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</si>
  <si>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</si>
  <si>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</si>
  <si>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</si>
  <si>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</si>
  <si>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</si>
  <si>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</si>
  <si>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</si>
  <si>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</si>
  <si>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</si>
  <si>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</si>
  <si>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</si>
  <si>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</si>
  <si>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</si>
  <si>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</si>
  <si>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</si>
  <si>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</si>
  <si>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</si>
  <si>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</si>
  <si>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</si>
  <si>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</si>
  <si>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</si>
  <si>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</si>
  <si>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</si>
  <si>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</si>
  <si>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</si>
  <si>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</si>
  <si>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</si>
  <si>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</si>
  <si>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</si>
  <si>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</si>
  <si>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</si>
  <si>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</si>
  <si>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</si>
  <si>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</si>
  <si>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</si>
  <si>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</si>
  <si>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</si>
  <si>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</si>
  <si>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</si>
  <si>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</si>
  <si>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</si>
  <si>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</si>
  <si>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</si>
  <si>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</si>
  <si>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</si>
  <si>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</si>
  <si>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</si>
  <si>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</si>
  <si>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</si>
  <si>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</si>
  <si>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</si>
  <si>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</si>
  <si>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</si>
  <si>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</si>
  <si>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</si>
  <si>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</si>
  <si>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</si>
  <si>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</si>
  <si>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</si>
  <si>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</si>
  <si>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</si>
  <si>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</si>
  <si>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</si>
  <si>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</si>
  <si>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</si>
  <si>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</si>
  <si>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</si>
  <si>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</si>
  <si>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</si>
  <si>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</si>
  <si>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</si>
  <si>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</si>
  <si>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</si>
  <si>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</si>
  <si>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</si>
  <si>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</si>
  <si>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</si>
  <si>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</si>
  <si>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</si>
  <si>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</si>
  <si>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</si>
  <si>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</si>
  <si>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</si>
  <si>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</si>
  <si>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</si>
  <si>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</si>
  <si>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</si>
  <si>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</si>
  <si>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</si>
  <si>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</si>
  <si>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</si>
  <si>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</si>
  <si>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</si>
  <si>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</si>
  <si>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</si>
  <si>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</si>
  <si>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</si>
  <si>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</si>
  <si>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</si>
  <si>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</si>
  <si>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</si>
  <si>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</si>
  <si>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</si>
  <si>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</si>
  <si>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</si>
  <si>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</si>
  <si>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</si>
  <si>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</si>
  <si>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</si>
  <si>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</si>
  <si>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</si>
  <si>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</si>
  <si>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</si>
  <si>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</si>
  <si>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</si>
  <si>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</si>
  <si>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</si>
  <si>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</si>
  <si>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</si>
  <si>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</si>
  <si>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</si>
  <si>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</si>
  <si>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</si>
  <si>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</si>
  <si>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</si>
  <si>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</si>
  <si>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</si>
  <si>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</si>
  <si>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</si>
  <si>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</si>
  <si>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</si>
  <si>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</si>
  <si>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</si>
  <si>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</si>
  <si>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</si>
  <si>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</si>
  <si>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</si>
  <si>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</si>
  <si>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</si>
  <si>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</si>
  <si>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</si>
  <si>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</si>
  <si>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</si>
  <si>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</si>
  <si>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</si>
  <si>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</si>
  <si>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</si>
  <si>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</si>
  <si>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</si>
  <si>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</si>
  <si>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</si>
  <si>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</si>
  <si>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</si>
  <si>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</si>
  <si>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</si>
  <si>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</si>
  <si>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</si>
  <si>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</si>
  <si>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</si>
  <si>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</si>
  <si>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</si>
  <si>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</si>
  <si>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</si>
  <si>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</si>
  <si>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</si>
  <si>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</si>
  <si>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</si>
  <si>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</si>
  <si>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</si>
  <si>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</si>
  <si>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</si>
  <si>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</si>
  <si>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</si>
  <si>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</si>
  <si>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</si>
  <si>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</si>
  <si>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</si>
  <si>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</si>
  <si>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</si>
  <si>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</si>
  <si>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</si>
  <si>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</si>
  <si>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</si>
  <si>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</si>
  <si>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</si>
  <si>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</si>
  <si>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</si>
  <si>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</si>
  <si>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</si>
  <si>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</si>
  <si>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</si>
  <si>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</si>
  <si>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</si>
  <si>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</si>
  <si>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</si>
  <si>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</si>
  <si>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</si>
  <si>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</si>
  <si>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</si>
  <si>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</si>
  <si>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</si>
  <si>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</si>
  <si>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</si>
  <si>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</si>
  <si>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</si>
  <si>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</si>
  <si>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</si>
  <si>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</si>
  <si>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</si>
  <si>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</si>
  <si>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</si>
  <si>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</si>
  <si>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</si>
  <si>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</si>
  <si>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</si>
  <si>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</si>
  <si>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</si>
  <si>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</si>
  <si>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</si>
  <si>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</si>
  <si>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</si>
  <si>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</si>
  <si>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</si>
  <si>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</si>
  <si>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</si>
  <si>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</si>
  <si>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</si>
  <si>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</si>
  <si>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</si>
  <si>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</si>
  <si>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</si>
  <si>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</si>
  <si>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</si>
  <si>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</si>
  <si>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</si>
  <si>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</si>
  <si>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</si>
  <si>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</si>
  <si>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</si>
  <si>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</si>
  <si>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</si>
  <si>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</si>
  <si>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</si>
  <si>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</si>
  <si>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</si>
  <si>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</si>
  <si>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</si>
  <si>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</si>
  <si>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</si>
  <si>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</si>
  <si>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</si>
  <si>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</si>
  <si>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</si>
  <si>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</si>
  <si>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</si>
  <si>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</si>
  <si>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</si>
  <si>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</si>
  <si>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</si>
  <si>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</si>
  <si>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</si>
  <si>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</si>
  <si>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</si>
  <si>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</si>
  <si>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</si>
  <si>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</si>
  <si>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</si>
  <si>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</si>
  <si>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</si>
  <si>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</si>
  <si>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</si>
  <si>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</si>
  <si>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</si>
  <si>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</si>
  <si>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</si>
  <si>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</si>
  <si>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</si>
  <si>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</si>
  <si>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</si>
  <si>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</si>
  <si>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</si>
  <si>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</si>
  <si>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</si>
  <si>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</si>
  <si>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</si>
  <si>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</si>
  <si>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</si>
  <si>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</si>
  <si>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</si>
  <si>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</si>
  <si>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</si>
  <si>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</si>
  <si>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</si>
  <si>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</si>
  <si>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</si>
  <si>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</si>
  <si>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</si>
  <si>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</si>
  <si>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</si>
  <si>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</si>
  <si>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</si>
  <si>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</si>
  <si>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</si>
  <si>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</si>
  <si>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</si>
  <si>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</si>
  <si>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</si>
  <si>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</si>
  <si>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</si>
  <si>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</si>
  <si>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</si>
  <si>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</si>
  <si>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</si>
  <si>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</si>
  <si>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</si>
  <si>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</si>
  <si>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</si>
  <si>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</si>
  <si>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</si>
  <si>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</si>
  <si>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</si>
  <si>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</si>
  <si>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</si>
  <si>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</si>
  <si>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</si>
  <si>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</si>
  <si>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</si>
  <si>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</si>
  <si>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</si>
  <si>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</si>
  <si>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</si>
  <si>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</si>
  <si>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</si>
  <si>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</si>
  <si>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</si>
  <si>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</si>
  <si>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</si>
  <si>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</si>
  <si>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</si>
  <si>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</si>
  <si>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</si>
  <si>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</si>
  <si>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</si>
  <si>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</si>
  <si>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</si>
  <si>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</si>
  <si>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</si>
  <si>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</si>
  <si>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</si>
  <si>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</si>
  <si>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</si>
  <si>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</si>
  <si>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</si>
  <si>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</si>
  <si>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</si>
  <si>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</si>
  <si>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</si>
  <si>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</si>
  <si>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</si>
  <si>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</si>
  <si>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</si>
  <si>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</si>
  <si>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</si>
  <si>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</si>
  <si>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</si>
  <si>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</si>
  <si>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</si>
  <si>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</si>
  <si>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</si>
  <si>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</si>
  <si>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</si>
  <si>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</si>
  <si>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</si>
  <si>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</si>
  <si>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</si>
  <si>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</si>
  <si>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</si>
  <si>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</si>
  <si>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</si>
  <si>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</si>
  <si>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</si>
  <si>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</si>
  <si>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</si>
  <si>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</si>
  <si>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</si>
  <si>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</si>
  <si>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</si>
  <si>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</si>
  <si>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</si>
  <si>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</si>
  <si>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</si>
  <si>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</si>
  <si>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</si>
  <si>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</si>
  <si>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</si>
  <si>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</si>
  <si>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</si>
  <si>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</si>
  <si>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</si>
  <si>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</si>
  <si>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</si>
  <si>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</si>
  <si>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</si>
  <si>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</si>
  <si>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</si>
  <si>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</si>
  <si>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</si>
  <si>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</si>
  <si>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</si>
  <si>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</si>
  <si>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</si>
  <si>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</si>
  <si>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</si>
  <si>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</si>
  <si>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</si>
  <si>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</si>
  <si>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</si>
  <si>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</si>
  <si>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</si>
  <si>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</si>
  <si>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</si>
  <si>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</si>
  <si>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</si>
  <si>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</si>
  <si>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</si>
  <si>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</si>
  <si>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</si>
  <si>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</si>
  <si>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</si>
  <si>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</si>
  <si>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</si>
  <si>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</si>
  <si>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</si>
  <si>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</si>
  <si>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</si>
  <si>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</si>
  <si>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</si>
  <si>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</si>
  <si>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</si>
  <si>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</si>
  <si>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</si>
  <si>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</si>
  <si>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</si>
  <si>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</si>
  <si>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</si>
  <si>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</si>
  <si>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</si>
  <si>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</si>
  <si>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</si>
  <si>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</si>
  <si>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</si>
  <si>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</si>
  <si>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</si>
  <si>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</si>
  <si>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</si>
  <si>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</si>
  <si>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</si>
  <si>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</si>
  <si>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</si>
  <si>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</si>
  <si>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</si>
  <si>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</si>
  <si>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</si>
  <si>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</si>
  <si>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</si>
  <si>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</si>
  <si>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</si>
  <si>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</si>
  <si>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</si>
  <si>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</si>
  <si>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</si>
  <si>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</si>
  <si>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</si>
  <si>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</si>
  <si>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</si>
  <si>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</si>
  <si>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</si>
  <si>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</si>
  <si>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</si>
  <si>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</si>
  <si>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</si>
  <si>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</si>
  <si>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</si>
  <si>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</si>
  <si>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</si>
  <si>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</si>
  <si>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</si>
  <si>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</si>
  <si>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</si>
  <si>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</si>
  <si>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</si>
  <si>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</si>
  <si>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</si>
  <si>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</si>
  <si>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</si>
  <si>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</si>
  <si>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</si>
  <si>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</si>
  <si>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</si>
  <si>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</si>
  <si>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</si>
  <si>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</si>
  <si>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</si>
  <si>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</si>
  <si>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</si>
  <si>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</si>
  <si>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</si>
  <si>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</si>
  <si>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</si>
  <si>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</si>
  <si>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</si>
  <si>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</si>
  <si>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</si>
  <si>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</si>
  <si>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</si>
  <si>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</si>
  <si>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</si>
  <si>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</si>
  <si>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</si>
  <si>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</si>
  <si>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</si>
  <si>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</si>
  <si>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</si>
  <si>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</si>
  <si>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</si>
  <si>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</si>
  <si>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</si>
  <si>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</si>
  <si>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</si>
  <si>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</si>
  <si>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</si>
  <si>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</si>
  <si>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</si>
  <si>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</si>
  <si>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</si>
  <si>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</si>
  <si>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</si>
  <si>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</si>
  <si>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</si>
  <si>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</si>
  <si>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</si>
  <si>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</si>
  <si>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</si>
  <si>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</si>
  <si>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</si>
  <si>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</si>
  <si>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</si>
  <si>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</si>
  <si>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</si>
  <si>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</si>
  <si>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</si>
  <si>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</si>
  <si>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</si>
  <si>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</si>
  <si>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</si>
  <si>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</si>
  <si>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</si>
  <si>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</si>
  <si>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</si>
  <si>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</si>
  <si>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</si>
  <si>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</si>
  <si>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</si>
  <si>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</si>
  <si>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</si>
  <si>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</si>
  <si>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</si>
  <si>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</si>
  <si>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</si>
  <si>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</si>
  <si>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</si>
  <si>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</si>
  <si>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</si>
  <si>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</si>
  <si>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</si>
  <si>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</si>
  <si>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</si>
  <si>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</si>
  <si>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</si>
  <si>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</si>
  <si>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</si>
  <si>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</si>
  <si>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</si>
  <si>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</si>
  <si>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</si>
  <si>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</si>
  <si>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</si>
  <si>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</si>
  <si>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</si>
  <si>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</si>
  <si>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</si>
  <si>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</si>
  <si>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</si>
  <si>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</si>
  <si>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</si>
  <si>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</si>
  <si>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</si>
  <si>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</si>
  <si>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</si>
  <si>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</si>
  <si>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</si>
  <si>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</si>
  <si>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</si>
  <si>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</si>
  <si>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</si>
  <si>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</si>
  <si>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</si>
  <si>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</si>
  <si>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</si>
  <si>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</si>
  <si>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</si>
  <si>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</si>
  <si>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</si>
  <si>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</si>
  <si>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</si>
  <si>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</si>
  <si>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</si>
  <si>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</si>
  <si>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</si>
  <si>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</si>
  <si>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</si>
  <si>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</si>
  <si>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</si>
  <si>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</si>
  <si>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</si>
  <si>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</si>
  <si>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</si>
  <si>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</si>
  <si>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</si>
  <si>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</si>
  <si>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</si>
  <si>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</si>
  <si>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</si>
  <si>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</si>
  <si>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</si>
  <si>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</si>
  <si>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</si>
  <si>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</si>
  <si>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</si>
  <si>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</si>
  <si>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</si>
  <si>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</si>
  <si>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</si>
  <si>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</si>
  <si>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</si>
  <si>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</si>
  <si>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</si>
  <si>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</si>
  <si>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</si>
  <si>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</si>
  <si>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</si>
  <si>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</si>
  <si>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</si>
  <si>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</si>
  <si>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</si>
  <si>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</si>
  <si>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</si>
  <si>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</si>
  <si>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</si>
  <si>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</si>
  <si>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</si>
  <si>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</si>
  <si>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</si>
  <si>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</si>
  <si>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</si>
  <si>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</si>
  <si>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</si>
  <si>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</si>
  <si>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</si>
  <si>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</si>
  <si>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</si>
  <si>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</si>
  <si>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</si>
  <si>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</si>
  <si>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</si>
  <si>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</si>
  <si>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</si>
  <si>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</si>
  <si>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</si>
  <si>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</si>
  <si>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</si>
  <si>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</si>
  <si>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</si>
  <si>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</si>
  <si>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</si>
  <si>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</si>
  <si>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</si>
  <si>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</si>
  <si>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</si>
  <si>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</si>
  <si>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</si>
  <si>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</si>
  <si>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</si>
  <si>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</si>
  <si>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</si>
  <si>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</si>
  <si>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</si>
  <si>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</si>
  <si>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</si>
  <si>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</si>
  <si>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</si>
  <si>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</si>
  <si>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</si>
  <si>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</si>
  <si>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</si>
  <si>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</si>
  <si>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</si>
  <si>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</si>
  <si>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</si>
  <si>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</si>
  <si>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</si>
  <si>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</si>
  <si>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</si>
  <si>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</si>
  <si>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</si>
  <si>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</si>
  <si>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</si>
  <si>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</si>
  <si>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</si>
  <si>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</si>
  <si>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</si>
  <si>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</si>
  <si>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</si>
  <si>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</si>
  <si>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</si>
  <si>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</si>
  <si>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</si>
  <si>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</si>
  <si>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</si>
  <si>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</si>
  <si>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</si>
  <si>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</si>
  <si>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</si>
  <si>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</si>
  <si>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</si>
  <si>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</si>
  <si>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</si>
  <si>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</si>
  <si>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</si>
  <si>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</si>
  <si>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</si>
  <si>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</si>
  <si>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</si>
  <si>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</si>
  <si>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</si>
  <si>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</si>
  <si>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</si>
  <si>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</si>
  <si>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</si>
  <si>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</si>
  <si>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</si>
  <si>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</si>
  <si>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</si>
  <si>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</si>
  <si>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</si>
  <si>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</si>
  <si>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</si>
  <si>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</si>
  <si>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</si>
  <si>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</si>
  <si>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</si>
  <si>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</si>
  <si>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</si>
  <si>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</si>
  <si>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</si>
  <si>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</si>
  <si>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</si>
  <si>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</si>
  <si>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</si>
  <si>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</si>
  <si>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</si>
  <si>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</si>
  <si>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</si>
  <si>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</si>
  <si>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</si>
  <si>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</si>
  <si>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</si>
  <si>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</si>
  <si>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</si>
  <si>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</si>
  <si>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</si>
  <si>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</si>
  <si>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</si>
  <si>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</si>
  <si>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</si>
  <si>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</si>
  <si>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</si>
  <si>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</si>
  <si>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</si>
  <si>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</si>
  <si>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</si>
  <si>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</si>
  <si>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</si>
  <si>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</si>
  <si>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</si>
  <si>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</si>
  <si>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</si>
  <si>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</si>
  <si>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</si>
  <si>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</si>
  <si>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</si>
  <si>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</si>
  <si>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</si>
  <si>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</si>
  <si>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</si>
  <si>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</si>
  <si>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</si>
  <si>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</si>
  <si>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</si>
  <si>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</si>
  <si>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</si>
  <si>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</si>
  <si>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</si>
  <si>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</si>
  <si>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</si>
  <si>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</si>
  <si>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</si>
  <si>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</si>
  <si>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</si>
  <si>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</si>
  <si>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</si>
  <si>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</si>
  <si>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</si>
  <si>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</si>
  <si>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</si>
  <si>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</si>
  <si>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</si>
  <si>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</si>
  <si>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</si>
  <si>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</si>
  <si>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</si>
  <si>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</si>
  <si>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</si>
  <si>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</si>
  <si>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</si>
  <si>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</si>
  <si>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</si>
  <si>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</si>
  <si>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</si>
  <si>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</si>
  <si>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</si>
  <si>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</si>
  <si>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</si>
  <si>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</si>
  <si>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</si>
  <si>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</si>
  <si>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</si>
  <si>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</si>
  <si>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</si>
  <si>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</si>
  <si>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</si>
  <si>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</si>
  <si>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</si>
  <si>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</si>
  <si>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</si>
  <si>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</si>
  <si>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</si>
  <si>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</si>
  <si>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</si>
  <si>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</si>
  <si>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</si>
  <si>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</si>
  <si>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</si>
  <si>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</si>
  <si>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</si>
  <si>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</si>
  <si>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</si>
  <si>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</si>
  <si>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</si>
  <si>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</si>
  <si>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</si>
  <si>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</si>
  <si>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</si>
  <si>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</si>
  <si>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</si>
  <si>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</si>
  <si>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</si>
  <si>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</si>
  <si>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</si>
  <si>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</si>
  <si>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</si>
  <si>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</si>
  <si>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</si>
  <si>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</si>
  <si>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</si>
  <si>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</si>
  <si>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</si>
  <si>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</si>
  <si>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</si>
  <si>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</si>
  <si>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</si>
  <si>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</si>
  <si>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</si>
  <si>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</si>
  <si>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</si>
  <si>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</si>
  <si>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</si>
  <si>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</si>
  <si>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</si>
  <si>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</si>
  <si>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</si>
  <si>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</si>
  <si>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</si>
  <si>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</si>
  <si>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</si>
  <si>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</si>
  <si>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</si>
  <si>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</si>
  <si>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</si>
  <si>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</si>
  <si>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</si>
  <si>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</si>
  <si>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</si>
  <si>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</si>
  <si>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</si>
  <si>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</si>
  <si>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</si>
  <si>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</si>
  <si>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</si>
  <si>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</si>
  <si>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</si>
  <si>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</si>
  <si>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</si>
  <si>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</si>
  <si>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</si>
  <si>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</si>
  <si>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</si>
  <si>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</si>
  <si>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</si>
  <si>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</si>
  <si>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</si>
  <si>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</si>
  <si>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</si>
  <si>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</si>
  <si>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</si>
  <si>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</si>
  <si>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</si>
  <si>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</si>
  <si>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</si>
  <si>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</si>
  <si>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</si>
  <si>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</si>
  <si>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</si>
  <si>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</si>
  <si>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</si>
  <si>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</si>
  <si>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</si>
  <si>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</si>
  <si>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</si>
  <si>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</si>
  <si>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</si>
  <si>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</si>
  <si>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</si>
  <si>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</si>
  <si>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</si>
  <si>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</si>
  <si>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</si>
  <si>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</si>
  <si>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</si>
  <si>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</si>
  <si>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</si>
  <si>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</si>
  <si>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</si>
  <si>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</si>
  <si>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</si>
  <si>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</si>
  <si>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</si>
  <si>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</si>
  <si>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</si>
  <si>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</si>
  <si>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</si>
  <si>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</si>
  <si>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</si>
  <si>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</si>
  <si>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</si>
  <si>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</si>
  <si>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</si>
  <si>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</si>
  <si>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</si>
  <si>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</si>
  <si>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</si>
  <si>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</si>
  <si>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</si>
  <si>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</si>
  <si>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</si>
  <si>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</si>
  <si>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</si>
  <si>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</si>
  <si>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</si>
  <si>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</si>
  <si>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</si>
  <si>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</si>
  <si>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</si>
  <si>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</si>
  <si>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</si>
  <si>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</si>
  <si>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</si>
  <si>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</si>
  <si>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</si>
  <si>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</si>
  <si>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</si>
  <si>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</si>
  <si>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</si>
  <si>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</si>
  <si>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</si>
  <si>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</si>
  <si>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</si>
  <si>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</si>
  <si>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</si>
  <si>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</si>
  <si>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</si>
  <si>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</si>
  <si>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</si>
  <si>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</si>
  <si>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</si>
  <si>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</si>
  <si>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</si>
  <si>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</si>
  <si>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</si>
  <si>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</si>
  <si>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</si>
  <si>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</si>
  <si>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</si>
  <si>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</si>
  <si>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</si>
  <si>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</si>
  <si>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</si>
  <si>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</si>
  <si>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</si>
  <si>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</si>
  <si>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</si>
  <si>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</si>
  <si>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</si>
  <si>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</si>
  <si>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</si>
  <si>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</si>
  <si>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</si>
  <si>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</si>
  <si>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</si>
  <si>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</si>
  <si>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</si>
  <si>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</si>
  <si>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</si>
  <si>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</si>
  <si>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</si>
  <si>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</si>
  <si>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</si>
  <si>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</si>
  <si>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</si>
  <si>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</si>
  <si>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</si>
  <si>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</si>
  <si>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</si>
  <si>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</si>
  <si>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</si>
  <si>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</si>
  <si>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</si>
  <si>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</si>
  <si>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</si>
  <si>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</si>
  <si>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</si>
  <si>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</si>
  <si>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</si>
  <si>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</si>
  <si>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</si>
  <si>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</si>
  <si>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</si>
  <si>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</si>
  <si>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</si>
  <si>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</si>
  <si>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</si>
  <si>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</si>
  <si>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</si>
  <si>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</si>
  <si>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</si>
  <si>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</si>
  <si>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</si>
  <si>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</si>
  <si>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</si>
  <si>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</si>
  <si>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</si>
  <si>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</si>
  <si>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</si>
  <si>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</si>
  <si>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</si>
  <si>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</si>
  <si>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</si>
  <si>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</si>
  <si>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</si>
  <si>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</si>
  <si>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</si>
  <si>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</si>
  <si>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</si>
  <si>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</si>
  <si>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</si>
  <si>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</si>
  <si>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</si>
  <si>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</si>
  <si>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</si>
  <si>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</si>
  <si>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</si>
  <si>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</si>
  <si>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</si>
  <si>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</si>
  <si>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</si>
  <si>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</si>
  <si>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</si>
  <si>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</si>
  <si>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</si>
  <si>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</si>
  <si>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</si>
  <si>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</si>
  <si>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</si>
  <si>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</si>
  <si>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</si>
  <si>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</si>
  <si>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</si>
  <si>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</si>
  <si>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</si>
  <si>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</si>
  <si>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</si>
  <si>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</si>
  <si>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</si>
  <si>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</si>
  <si>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</si>
  <si>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</si>
  <si>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</si>
  <si>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</si>
  <si>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</si>
  <si>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</si>
  <si>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</si>
  <si>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</si>
  <si>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</si>
  <si>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</si>
  <si>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</si>
  <si>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</si>
  <si>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</si>
  <si>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</si>
  <si>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</si>
  <si>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</si>
  <si>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</si>
  <si>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</si>
  <si>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</si>
  <si>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</si>
  <si>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</si>
  <si>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</si>
  <si>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</si>
  <si>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</si>
  <si>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</si>
  <si>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</si>
  <si>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</si>
  <si>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</si>
  <si>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</si>
  <si>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</si>
  <si>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</si>
  <si>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</si>
  <si>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</si>
  <si>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</si>
  <si>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</si>
  <si>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</si>
  <si>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</si>
  <si>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</si>
  <si>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</si>
  <si>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</si>
  <si>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</si>
  <si>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</si>
  <si>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</si>
  <si>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</si>
  <si>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</si>
  <si>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</si>
  <si>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</si>
  <si>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</si>
  <si>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</si>
  <si>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</si>
  <si>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</si>
  <si>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</si>
  <si>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</si>
  <si>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</si>
  <si>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</si>
  <si>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</si>
  <si>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</si>
  <si>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</si>
  <si>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</si>
  <si>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</si>
  <si>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</si>
  <si>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</si>
  <si>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</si>
  <si>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</si>
  <si>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</si>
  <si>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</si>
  <si>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</si>
  <si>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</si>
  <si>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</si>
  <si>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</si>
  <si>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</si>
  <si>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</si>
  <si>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</si>
  <si>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</si>
  <si>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</si>
  <si>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</si>
  <si>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</si>
  <si>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</si>
  <si>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</si>
  <si>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</si>
  <si>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</si>
  <si>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</si>
  <si>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</si>
  <si>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</si>
  <si>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</si>
  <si>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</si>
  <si>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</si>
  <si>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</si>
  <si>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</si>
  <si>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</si>
  <si>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</si>
  <si>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</si>
  <si>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</si>
  <si>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</si>
  <si>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</si>
  <si>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</si>
  <si>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</si>
  <si>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</si>
  <si>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</si>
  <si>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</si>
  <si>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</si>
  <si>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</si>
  <si>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</si>
  <si>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</si>
  <si>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</si>
  <si>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</si>
  <si>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</si>
  <si>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</si>
  <si>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</si>
  <si>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</si>
  <si>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</si>
  <si>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</si>
  <si>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</si>
  <si>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</si>
  <si>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</si>
  <si>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</si>
  <si>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</si>
  <si>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</si>
  <si>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</si>
  <si>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</si>
  <si>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</si>
  <si>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</si>
  <si>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</si>
  <si>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</si>
  <si>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</si>
  <si>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</si>
  <si>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</si>
  <si>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</si>
  <si>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</si>
  <si>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</si>
  <si>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</si>
  <si>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</si>
  <si>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</si>
  <si>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</si>
  <si>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</si>
  <si>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</si>
  <si>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</si>
  <si>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</si>
  <si>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</si>
  <si>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</si>
  <si>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</si>
  <si>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</si>
  <si>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</si>
  <si>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</si>
  <si>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</si>
  <si>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</si>
  <si>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</si>
  <si>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</si>
  <si>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</si>
  <si>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</si>
  <si>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</si>
  <si>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</si>
  <si>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</si>
  <si>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</si>
  <si>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</si>
  <si>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</si>
  <si>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</si>
  <si>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</si>
  <si>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</si>
  <si>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</si>
  <si>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</si>
  <si>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</si>
  <si>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</si>
  <si>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</si>
  <si>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</si>
  <si>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</si>
  <si>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</si>
  <si>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</si>
  <si>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</si>
  <si>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</si>
  <si>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</si>
  <si>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</si>
  <si>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</si>
  <si>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</si>
  <si>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</si>
  <si>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</si>
  <si>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</si>
  <si>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</si>
  <si>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</si>
  <si>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</si>
  <si>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</si>
  <si>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</si>
  <si>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</si>
  <si>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</si>
  <si>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</si>
  <si>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</si>
  <si>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</si>
  <si>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</si>
  <si>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</si>
  <si>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</si>
  <si>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</si>
  <si>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</si>
  <si>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</si>
  <si>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</si>
  <si>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</si>
  <si>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</si>
  <si>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</si>
  <si>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</si>
  <si>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</si>
  <si>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</si>
  <si>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</si>
  <si>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</si>
  <si>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</si>
  <si>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</si>
  <si>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</si>
  <si>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</si>
  <si>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</si>
  <si>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</si>
  <si>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</si>
  <si>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</si>
  <si>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</si>
  <si>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</si>
  <si>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</si>
  <si>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</si>
  <si>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</si>
  <si>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</si>
  <si>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</si>
  <si>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</si>
  <si>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</si>
  <si>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</si>
  <si>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</si>
  <si>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</si>
  <si>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</si>
  <si>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</si>
  <si>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</si>
  <si>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</si>
  <si>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</si>
  <si>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</si>
  <si>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</si>
  <si>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</si>
  <si>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</si>
  <si>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</si>
  <si>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</si>
  <si>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</si>
  <si>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</si>
  <si>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</si>
  <si>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</si>
  <si>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</si>
  <si>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</si>
  <si>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</si>
  <si>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</si>
  <si>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</si>
  <si>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</si>
  <si>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</si>
  <si>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</si>
  <si>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</si>
  <si>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</si>
  <si>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</si>
  <si>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</si>
  <si>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</si>
  <si>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</si>
  <si>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</si>
  <si>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</si>
  <si>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</si>
  <si>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</si>
  <si>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</si>
  <si>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</si>
  <si>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</si>
  <si>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</si>
  <si>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</si>
  <si>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</si>
  <si>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</si>
  <si>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</si>
  <si>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</si>
  <si>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</si>
  <si>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</si>
  <si>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</si>
  <si>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</si>
  <si>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</si>
  <si>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</si>
  <si>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</si>
  <si>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</si>
  <si>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</si>
  <si>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</si>
  <si>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</si>
  <si>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</si>
  <si>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</si>
  <si>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</si>
  <si>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</si>
  <si>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</si>
  <si>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</si>
  <si>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</si>
  <si>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</si>
  <si>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</si>
  <si>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</si>
  <si>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</si>
  <si>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</si>
  <si>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</si>
  <si>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</si>
  <si>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</si>
  <si>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</si>
  <si>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</si>
  <si>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</si>
  <si>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</si>
  <si>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</si>
  <si>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</si>
  <si>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</si>
  <si>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</si>
  <si>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</si>
  <si>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</si>
  <si>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</si>
  <si>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</si>
  <si>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</si>
  <si>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</si>
  <si>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</si>
  <si>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</si>
  <si>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</si>
  <si>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</si>
  <si>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</si>
  <si>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</si>
  <si>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</si>
  <si>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</si>
  <si>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</si>
  <si>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</si>
  <si>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</si>
  <si>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</si>
  <si>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</si>
  <si>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</si>
  <si>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</si>
  <si>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</si>
  <si>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</si>
  <si>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</si>
  <si>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</si>
  <si>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</si>
  <si>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</si>
  <si>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</si>
  <si>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</si>
  <si>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</si>
  <si>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</si>
  <si>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</si>
  <si>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</si>
  <si>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</si>
  <si>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</si>
  <si>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</si>
  <si>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</si>
  <si>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</si>
  <si>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</si>
  <si>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</si>
  <si>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</si>
  <si>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</si>
  <si>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</si>
  <si>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</si>
  <si>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</si>
  <si>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</si>
  <si>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</si>
  <si>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</si>
  <si>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</si>
  <si>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</si>
  <si>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</si>
  <si>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</si>
  <si>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</si>
  <si>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</si>
  <si>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</si>
  <si>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</si>
  <si>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</si>
  <si>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</si>
  <si>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</si>
  <si>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</si>
  <si>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</si>
  <si>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</si>
  <si>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</si>
  <si>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</si>
  <si>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</si>
  <si>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</si>
  <si>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</si>
  <si>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</si>
  <si>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</si>
  <si>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</si>
  <si>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</si>
  <si>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</si>
  <si>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</si>
  <si>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</si>
  <si>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</si>
  <si>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</si>
  <si>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</si>
  <si>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</si>
  <si>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</si>
  <si>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</si>
  <si>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</si>
  <si>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</si>
  <si>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</si>
  <si>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</si>
  <si>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</si>
  <si>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</si>
  <si>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</si>
  <si>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</si>
  <si>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</si>
  <si>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</si>
  <si>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</si>
  <si>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</si>
  <si>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</si>
  <si>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</si>
  <si>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</si>
  <si>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</si>
  <si>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</si>
  <si>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</si>
  <si>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</si>
  <si>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</si>
  <si>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</si>
  <si>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</si>
  <si>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</si>
  <si>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</si>
  <si>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</si>
  <si>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</si>
  <si>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</si>
  <si>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</si>
  <si>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</si>
  <si>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</si>
  <si>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</si>
  <si>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</si>
  <si>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</si>
  <si>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</si>
  <si>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</si>
  <si>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</si>
  <si>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</si>
  <si>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</si>
  <si>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</si>
  <si>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</si>
  <si>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</si>
  <si>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</si>
  <si>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</si>
  <si>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</si>
  <si>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</si>
  <si>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</si>
  <si>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</si>
  <si>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</si>
  <si>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</si>
  <si>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</si>
  <si>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</si>
  <si>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</si>
  <si>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</si>
  <si>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</si>
  <si>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</si>
  <si>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</si>
  <si>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</si>
  <si>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</si>
  <si>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</si>
  <si>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</si>
  <si>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</si>
  <si>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</si>
  <si>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</si>
  <si>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</si>
  <si>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</si>
  <si>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</si>
  <si>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</si>
  <si>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</si>
  <si>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</si>
  <si>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</si>
  <si>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</si>
  <si>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</si>
  <si>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</si>
  <si>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</si>
  <si>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</si>
  <si>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</si>
  <si>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</si>
  <si>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</si>
  <si>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</si>
  <si>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</si>
  <si>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</si>
  <si>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</si>
  <si>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</si>
  <si>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</si>
  <si>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</si>
  <si>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</si>
  <si>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</si>
  <si>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</si>
  <si>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</si>
  <si>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</si>
  <si>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</si>
  <si>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</si>
  <si>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</si>
  <si>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</si>
  <si>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</si>
  <si>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</si>
  <si>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</si>
  <si>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</si>
  <si>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</si>
  <si>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</si>
  <si>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</si>
  <si>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</si>
  <si>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</si>
  <si>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</si>
  <si>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</si>
  <si>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</si>
  <si>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</si>
  <si>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</si>
  <si>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</si>
  <si>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</si>
  <si>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</si>
  <si>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</si>
  <si>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</si>
  <si>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</si>
  <si>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</si>
  <si>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</si>
  <si>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</si>
  <si>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</si>
  <si>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</si>
  <si>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</si>
  <si>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</si>
  <si>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</si>
  <si>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</si>
  <si>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</si>
  <si>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</si>
  <si>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</si>
  <si>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</si>
  <si>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</si>
  <si>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</si>
  <si>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</si>
  <si>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</si>
  <si>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</si>
  <si>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</si>
  <si>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</si>
  <si>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</si>
  <si>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</si>
  <si>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</si>
  <si>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</si>
  <si>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</si>
  <si>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</si>
  <si>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</si>
  <si>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</si>
  <si>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</si>
  <si>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</si>
  <si>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</si>
  <si>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</si>
  <si>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</si>
  <si>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</si>
  <si>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</si>
  <si>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</si>
  <si>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</si>
  <si>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</si>
  <si>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</si>
  <si>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</si>
  <si>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</si>
  <si>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</si>
  <si>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</si>
  <si>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</si>
  <si>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</si>
  <si>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</si>
  <si>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</si>
  <si>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</si>
  <si>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</si>
  <si>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</si>
  <si>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</si>
  <si>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</si>
  <si>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</si>
  <si>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</si>
  <si>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</si>
  <si>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</si>
  <si>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</si>
  <si>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</si>
  <si>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</si>
  <si>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</si>
  <si>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</si>
  <si>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</si>
  <si>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</si>
  <si>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</si>
  <si>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</si>
  <si>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</si>
  <si>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</si>
  <si>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</si>
  <si>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</si>
  <si>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</si>
  <si>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</si>
  <si>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</si>
  <si>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</si>
  <si>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</si>
  <si>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</si>
  <si>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</si>
  <si>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</si>
  <si>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</si>
  <si>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</si>
  <si>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</si>
  <si>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</si>
  <si>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</si>
  <si>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</si>
  <si>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</si>
  <si>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</si>
  <si>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</si>
  <si>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</si>
  <si>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</si>
  <si>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</si>
  <si>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</si>
  <si>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</si>
  <si>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</si>
  <si>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</si>
  <si>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</si>
  <si>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</si>
  <si>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</si>
  <si>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</si>
  <si>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</si>
  <si>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</si>
  <si>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</si>
  <si>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</si>
  <si>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</si>
  <si>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</si>
  <si>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</si>
  <si>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</si>
  <si>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</si>
  <si>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</si>
  <si>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</si>
  <si>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</si>
  <si>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</si>
  <si>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</si>
  <si>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</si>
  <si>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</si>
  <si>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</si>
  <si>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</si>
  <si>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</si>
  <si>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</si>
  <si>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</si>
  <si>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</si>
  <si>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</si>
  <si>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</si>
  <si>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</si>
  <si>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</si>
  <si>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</si>
  <si>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</si>
  <si>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</si>
  <si>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</si>
  <si>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</si>
  <si>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</si>
  <si>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</si>
  <si>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</si>
  <si>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</si>
  <si>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</si>
  <si>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</si>
  <si>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</si>
  <si>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</si>
  <si>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</si>
  <si>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</si>
  <si>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</si>
  <si>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</si>
  <si>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</si>
  <si>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</si>
  <si>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</si>
  <si>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</si>
  <si>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</si>
  <si>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</si>
  <si>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</si>
  <si>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</si>
  <si>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</si>
  <si>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</si>
  <si>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</si>
  <si>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</si>
  <si>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</si>
  <si>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</si>
  <si>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</si>
  <si>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</si>
  <si>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</si>
  <si>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</si>
  <si>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</si>
  <si>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</si>
  <si>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</si>
  <si>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</si>
  <si>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</si>
  <si>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</si>
  <si>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</si>
  <si>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</si>
  <si>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</si>
  <si>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</si>
  <si>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</si>
  <si>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</si>
  <si>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</si>
  <si>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</si>
  <si>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</si>
  <si>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</si>
  <si>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</si>
  <si>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</si>
  <si>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</si>
  <si>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</si>
  <si>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</si>
  <si>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</si>
  <si>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</si>
  <si>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</si>
  <si>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</si>
  <si>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</si>
  <si>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</si>
  <si>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</si>
  <si>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</si>
  <si>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</si>
  <si>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</si>
  <si>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</si>
  <si>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</si>
  <si>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</si>
  <si>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</si>
  <si>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</si>
  <si>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</si>
  <si>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</si>
  <si>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</si>
  <si>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</si>
  <si>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</si>
  <si>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</si>
  <si>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</si>
  <si>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</si>
  <si>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</si>
  <si>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</si>
  <si>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</si>
  <si>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</si>
  <si>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</si>
  <si>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</si>
  <si>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</si>
  <si>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</si>
  <si>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</si>
  <si>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</si>
  <si>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</si>
  <si>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</si>
  <si>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</si>
  <si>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</si>
  <si>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</si>
  <si>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</si>
  <si>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</si>
  <si>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</si>
  <si>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</si>
  <si>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</si>
  <si>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</si>
  <si>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</si>
  <si>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</si>
  <si>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</si>
  <si>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</si>
  <si>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</si>
  <si>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</si>
  <si>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</si>
  <si>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</si>
  <si>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</si>
  <si>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</si>
  <si>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</si>
  <si>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</si>
  <si>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</si>
  <si>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</si>
  <si>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</si>
  <si>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</si>
  <si>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</si>
  <si>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</si>
  <si>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</si>
  <si>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</si>
  <si>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</si>
  <si>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</si>
  <si>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</si>
  <si>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</si>
  <si>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</si>
  <si>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</si>
  <si>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</si>
  <si>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</si>
  <si>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</si>
  <si>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</si>
  <si>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</si>
  <si>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</si>
  <si>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</si>
  <si>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</si>
  <si>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</si>
  <si>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</si>
  <si>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</si>
  <si>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</si>
  <si>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</si>
  <si>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</si>
  <si>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</si>
  <si>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</si>
  <si>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</si>
  <si>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</si>
  <si>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</si>
  <si>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</si>
  <si>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</si>
  <si>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</si>
  <si>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</si>
  <si>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</si>
  <si>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</si>
  <si>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</si>
  <si>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</si>
  <si>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</si>
  <si>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</si>
  <si>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</si>
  <si>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</si>
  <si>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</si>
  <si>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</si>
  <si>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</si>
  <si>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</si>
  <si>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</si>
  <si>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</si>
  <si>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</si>
  <si>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</si>
  <si>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</si>
  <si>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</si>
  <si>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</si>
  <si>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</si>
  <si>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</si>
  <si>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</si>
  <si>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</si>
  <si>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</si>
  <si>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</si>
  <si>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</si>
  <si>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</si>
  <si>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</si>
  <si>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</si>
  <si>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</si>
  <si>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</si>
  <si>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</si>
  <si>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</si>
  <si>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</si>
  <si>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</si>
  <si>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</si>
  <si>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</si>
  <si>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</si>
  <si>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</si>
  <si>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</si>
  <si>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</si>
  <si>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</si>
  <si>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</si>
  <si>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</si>
  <si>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</si>
  <si>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</si>
  <si>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</si>
  <si>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</si>
  <si>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</si>
  <si>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</si>
  <si>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</si>
  <si>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</si>
  <si>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</si>
  <si>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</si>
  <si>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</si>
  <si>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</si>
  <si>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</si>
  <si>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</si>
  <si>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</si>
  <si>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</si>
  <si>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</si>
  <si>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</si>
  <si>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</si>
  <si>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</si>
  <si>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</si>
  <si>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</si>
  <si>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</si>
  <si>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</si>
  <si>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</si>
  <si>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</si>
  <si>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</si>
  <si>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</si>
  <si>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</si>
  <si>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</si>
  <si>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</si>
  <si>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</si>
  <si>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</si>
  <si>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</si>
  <si>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</si>
  <si>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</si>
  <si>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</si>
  <si>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</si>
  <si>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</si>
  <si>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</si>
  <si>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</si>
  <si>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</si>
  <si>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</si>
  <si>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</si>
  <si>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</si>
  <si>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</si>
  <si>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</si>
  <si>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</si>
  <si>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</si>
  <si>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</si>
  <si>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</si>
  <si>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</si>
  <si>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</si>
  <si>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</si>
  <si>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</si>
  <si>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</si>
  <si>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</si>
  <si>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</si>
  <si>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</si>
  <si>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</si>
  <si>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</si>
  <si>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</si>
  <si>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</si>
  <si>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</si>
  <si>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</si>
  <si>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</si>
  <si>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</si>
  <si>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</si>
  <si>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</si>
  <si>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</si>
  <si>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</si>
  <si>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</si>
  <si>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</si>
  <si>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</si>
  <si>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</si>
  <si>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</si>
  <si>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</si>
  <si>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</si>
  <si>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</si>
  <si>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</si>
  <si>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</si>
  <si>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</si>
  <si>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</si>
  <si>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</si>
  <si>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</si>
  <si>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</si>
  <si>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</si>
  <si>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</si>
  <si>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</si>
  <si>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</si>
  <si>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</si>
  <si>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</si>
  <si>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</si>
  <si>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</si>
  <si>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</si>
  <si>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</si>
  <si>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</si>
  <si>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</si>
  <si>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</si>
  <si>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</si>
  <si>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</si>
  <si>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</si>
  <si>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</si>
  <si>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</si>
  <si>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</si>
  <si>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</si>
  <si>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</si>
  <si>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</si>
  <si>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</si>
  <si>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</si>
  <si>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</si>
  <si>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</si>
  <si>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</si>
  <si>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</si>
  <si>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</si>
  <si>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</si>
  <si>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</si>
  <si>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</si>
  <si>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</si>
  <si>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</si>
  <si>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</si>
  <si>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</si>
  <si>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</si>
  <si>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</si>
  <si>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</si>
  <si>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</si>
  <si>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</si>
  <si>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</si>
  <si>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</si>
  <si>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</si>
  <si>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</si>
  <si>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</si>
  <si>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</si>
  <si>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</si>
  <si>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</si>
  <si>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</si>
  <si>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</si>
  <si>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</si>
  <si>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</si>
  <si>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</si>
  <si>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</si>
  <si>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</si>
  <si>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</si>
  <si>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</si>
  <si>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</si>
  <si>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</si>
  <si>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</si>
  <si>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</si>
  <si>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</si>
  <si>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</si>
  <si>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</si>
  <si>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</si>
  <si>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</si>
  <si>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</si>
  <si>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</si>
  <si>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</si>
  <si>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</si>
  <si>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</si>
  <si>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</si>
  <si>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</si>
  <si>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</si>
  <si>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</si>
  <si>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</si>
  <si>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</si>
  <si>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</si>
  <si>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</si>
  <si>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</si>
  <si>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</si>
  <si>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</si>
  <si>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</si>
  <si>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</si>
  <si>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</si>
  <si>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</si>
  <si>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</si>
  <si>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</si>
  <si>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</si>
  <si>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</si>
  <si>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</si>
  <si>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</si>
  <si>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</si>
  <si>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</si>
  <si>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</si>
  <si>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</si>
  <si>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</si>
  <si>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</si>
  <si>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</si>
  <si>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</si>
  <si>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</si>
  <si>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</si>
  <si>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</si>
  <si>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</si>
  <si>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</si>
  <si>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</si>
  <si>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</si>
  <si>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</si>
  <si>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</si>
  <si>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</si>
  <si>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</si>
  <si>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</si>
  <si>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</si>
  <si>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</si>
  <si>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</si>
  <si>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</si>
  <si>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</si>
  <si>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</si>
  <si>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</si>
  <si>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</si>
  <si>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</si>
  <si>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</si>
  <si>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</si>
  <si>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</si>
  <si>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</si>
  <si>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</si>
  <si>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</si>
  <si>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</si>
  <si>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</si>
  <si>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</si>
  <si>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</si>
  <si>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</si>
  <si>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</si>
  <si>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</si>
  <si>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</si>
  <si>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</si>
  <si>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</si>
  <si>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</si>
  <si>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</si>
  <si>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</si>
  <si>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</si>
  <si>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</si>
  <si>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</si>
  <si>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</si>
  <si>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</si>
  <si>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</si>
  <si>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</si>
  <si>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</si>
  <si>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</si>
  <si>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</si>
  <si>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</si>
  <si>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</si>
  <si>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</si>
  <si>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</si>
  <si>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</si>
  <si>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</si>
  <si>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</si>
  <si>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</si>
  <si>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</si>
  <si>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</si>
  <si>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</si>
  <si>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</si>
  <si>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</si>
  <si>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</si>
  <si>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</si>
  <si>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</si>
  <si>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</si>
  <si>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</si>
  <si>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</si>
  <si>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</si>
  <si>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</si>
  <si>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</si>
  <si>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</si>
  <si>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</si>
  <si>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</si>
  <si>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</si>
  <si>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</si>
  <si>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</si>
  <si>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</si>
  <si>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</si>
  <si>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</si>
  <si>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</si>
  <si>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</si>
  <si>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</si>
  <si>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</si>
  <si>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</si>
  <si>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</si>
  <si>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</si>
  <si>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</si>
  <si>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</si>
  <si>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</si>
  <si>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</si>
  <si>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</si>
  <si>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</si>
  <si>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</si>
  <si>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</si>
  <si>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</si>
  <si>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</si>
  <si>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</si>
  <si>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</si>
  <si>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</si>
  <si>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</si>
  <si>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</si>
  <si>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</si>
  <si>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</si>
  <si>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</si>
  <si>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</si>
  <si>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</si>
  <si>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</si>
  <si>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</si>
  <si>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</si>
  <si>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</si>
  <si>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</si>
  <si>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</si>
  <si>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</si>
  <si>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</si>
  <si>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</si>
  <si>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</si>
  <si>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</si>
  <si>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</si>
  <si>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</si>
  <si>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</si>
  <si>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</si>
  <si>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</si>
  <si>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</si>
  <si>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</si>
  <si>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</si>
  <si>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</si>
  <si>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</si>
  <si>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</si>
  <si>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</si>
  <si>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</si>
  <si>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</si>
  <si>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</si>
  <si>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</si>
  <si>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</si>
  <si>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</si>
  <si>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</si>
  <si>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</si>
  <si>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</si>
  <si>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</si>
  <si>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</si>
  <si>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</si>
  <si>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</si>
  <si>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</si>
  <si>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</si>
  <si>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</si>
  <si>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</si>
  <si>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</si>
  <si>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</si>
  <si>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</si>
  <si>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</si>
  <si>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</si>
  <si>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</si>
  <si>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</si>
  <si>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</si>
  <si>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</si>
  <si>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</si>
  <si>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</si>
  <si>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</si>
  <si>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</si>
  <si>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</si>
  <si>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</si>
  <si>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</si>
  <si>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</si>
  <si>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</si>
  <si>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</si>
  <si>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</si>
  <si>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</si>
  <si>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</si>
  <si>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</si>
  <si>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</si>
  <si>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</si>
  <si>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</si>
  <si>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</si>
  <si>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</si>
  <si>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</si>
  <si>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</si>
  <si>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</si>
  <si>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</si>
  <si>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</si>
  <si>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</si>
  <si>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</si>
  <si>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</si>
  <si>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</si>
  <si>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</si>
  <si>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</si>
  <si>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</si>
  <si>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</si>
  <si>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</si>
  <si>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</si>
  <si>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</si>
  <si>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</si>
  <si>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</si>
  <si>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</si>
  <si>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</si>
  <si>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</si>
  <si>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</si>
  <si>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</si>
  <si>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</si>
  <si>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</si>
  <si>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</si>
  <si>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</si>
  <si>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</si>
  <si>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</si>
  <si>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</si>
  <si>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</si>
  <si>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</si>
  <si>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</si>
  <si>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</si>
  <si>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</si>
  <si>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</si>
  <si>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</si>
  <si>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</si>
  <si>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</si>
  <si>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</si>
  <si>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</si>
  <si>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</si>
  <si>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</si>
  <si>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</si>
  <si>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</si>
  <si>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</si>
  <si>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</si>
  <si>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</si>
  <si>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</si>
  <si>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</si>
  <si>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</si>
  <si>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</si>
  <si>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</si>
  <si>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</si>
  <si>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</si>
  <si>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</si>
  <si>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</si>
  <si>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</si>
  <si>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</si>
  <si>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</si>
  <si>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</si>
  <si>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</si>
  <si>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</si>
  <si>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</si>
  <si>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</si>
  <si>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</si>
  <si>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</si>
  <si>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</si>
  <si>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</si>
  <si>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</si>
  <si>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</si>
  <si>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</si>
  <si>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</si>
  <si>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</si>
  <si>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</si>
  <si>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</si>
  <si>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</si>
  <si>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</si>
  <si>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</si>
  <si>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</si>
  <si>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</si>
  <si>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</si>
  <si>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</si>
  <si>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</si>
  <si>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</si>
  <si>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</si>
  <si>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</si>
  <si>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</si>
  <si>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</si>
  <si>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</si>
  <si>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</si>
  <si>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</si>
  <si>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</si>
  <si>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</si>
  <si>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</si>
  <si>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</si>
  <si>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</si>
  <si>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</si>
  <si>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</si>
  <si>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</si>
  <si>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</si>
  <si>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</si>
  <si>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</si>
  <si>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</si>
  <si>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</si>
  <si>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</si>
  <si>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</si>
  <si>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</si>
  <si>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</si>
  <si>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</si>
  <si>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</si>
  <si>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</si>
  <si>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</si>
  <si>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</si>
  <si>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</si>
  <si>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</si>
  <si>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</si>
  <si>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</si>
  <si>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</si>
  <si>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</si>
  <si>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</si>
  <si>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</si>
  <si>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</si>
  <si>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</si>
  <si>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</si>
  <si>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</si>
  <si>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</si>
  <si>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</si>
  <si>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</si>
  <si>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</si>
  <si>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</si>
  <si>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</si>
  <si>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</si>
  <si>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</si>
  <si>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</si>
  <si>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</si>
  <si>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</si>
  <si>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</si>
  <si>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</si>
  <si>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</si>
  <si>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</si>
  <si>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</si>
  <si>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</si>
  <si>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</si>
  <si>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</si>
  <si>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</si>
  <si>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</si>
  <si>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</si>
  <si>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</si>
  <si>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</si>
  <si>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</si>
  <si>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</si>
  <si>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</si>
  <si>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</si>
  <si>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</si>
  <si>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</si>
  <si>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</si>
  <si>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</si>
  <si>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</si>
  <si>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</si>
  <si>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</si>
  <si>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</si>
  <si>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</si>
  <si>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</si>
  <si>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</si>
  <si>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</si>
  <si>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</si>
  <si>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</si>
  <si>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</si>
  <si>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</si>
  <si>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</si>
  <si>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</si>
  <si>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</si>
  <si>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</si>
  <si>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</si>
  <si>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</si>
  <si>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</si>
  <si>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</si>
  <si>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</si>
  <si>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</si>
  <si>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</si>
  <si>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</si>
  <si>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</si>
  <si>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</si>
  <si>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</si>
  <si>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</si>
  <si>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</si>
  <si>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</si>
  <si>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</si>
  <si>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</si>
  <si>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</si>
  <si>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</si>
  <si>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</si>
  <si>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</si>
  <si>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</si>
  <si>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</si>
  <si>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</si>
  <si>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</si>
  <si>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</si>
  <si>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</si>
  <si>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</si>
  <si>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</si>
  <si>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</si>
  <si>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</si>
  <si>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</si>
  <si>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</si>
  <si>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</si>
  <si>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</si>
  <si>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</si>
  <si>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</si>
  <si>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</si>
  <si>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</si>
  <si>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</si>
  <si>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</si>
  <si>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</si>
  <si>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</si>
  <si>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</si>
  <si>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</si>
  <si>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</si>
  <si>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</si>
  <si>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</si>
  <si>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</si>
  <si>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</si>
  <si>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</si>
  <si>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</si>
  <si>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</si>
  <si>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</si>
  <si>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</si>
  <si>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</si>
  <si>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</si>
  <si>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</si>
  <si>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</si>
  <si>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</si>
  <si>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</si>
  <si>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</si>
  <si>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</si>
  <si>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</si>
  <si>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</si>
  <si>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</si>
  <si>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</si>
  <si>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</si>
  <si>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</si>
  <si>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</si>
  <si>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</si>
  <si>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</si>
  <si>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</si>
  <si>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</si>
  <si>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</si>
  <si>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</si>
  <si>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</si>
  <si>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</si>
  <si>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</si>
  <si>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</si>
  <si>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</si>
  <si>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</si>
  <si>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</si>
  <si>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</si>
  <si>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</si>
  <si>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</si>
  <si>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</si>
  <si>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</si>
  <si>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</si>
  <si>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</si>
  <si>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</si>
  <si>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</si>
  <si>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</si>
  <si>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</si>
  <si>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</si>
  <si>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</si>
  <si>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</si>
  <si>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</si>
  <si>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</si>
  <si>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</si>
  <si>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</si>
  <si>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</si>
  <si>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</si>
  <si>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</si>
  <si>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</si>
  <si>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</si>
  <si>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</si>
  <si>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</si>
  <si>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</si>
  <si>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</si>
  <si>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</si>
  <si>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</si>
  <si>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</si>
  <si>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</si>
  <si>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</si>
  <si>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</si>
  <si>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</si>
  <si>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</si>
  <si>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</si>
  <si>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</si>
  <si>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</si>
  <si>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</si>
  <si>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</si>
  <si>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</si>
  <si>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</si>
  <si>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</si>
  <si>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</si>
  <si>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</si>
  <si>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</si>
  <si>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</si>
  <si>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</si>
  <si>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</si>
  <si>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</si>
  <si>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</si>
  <si>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</si>
  <si>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</si>
  <si>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</si>
  <si>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</si>
  <si>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</si>
  <si>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</si>
  <si>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</si>
  <si>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</si>
  <si>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</si>
  <si>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</si>
  <si>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</si>
  <si>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</si>
  <si>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</si>
  <si>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</si>
  <si>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</si>
  <si>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</si>
  <si>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</si>
  <si>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</si>
  <si>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</si>
  <si>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</si>
  <si>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</si>
  <si>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</si>
  <si>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</si>
  <si>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</si>
  <si>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</si>
  <si>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</si>
  <si>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</si>
  <si>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</si>
  <si>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</si>
  <si>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</si>
  <si>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</si>
  <si>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</si>
  <si>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</si>
  <si>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</si>
  <si>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</si>
  <si>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</si>
  <si>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</si>
  <si>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</si>
  <si>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</si>
  <si>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</si>
  <si>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</si>
  <si>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</si>
  <si>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</si>
  <si>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</si>
  <si>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</si>
  <si>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</si>
  <si>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</si>
  <si>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</si>
  <si>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</si>
  <si>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</si>
  <si>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</si>
  <si>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</si>
  <si>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</si>
  <si>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</si>
  <si>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</si>
  <si>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</si>
  <si>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</si>
  <si>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</si>
  <si>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</si>
  <si>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</si>
  <si>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</si>
  <si>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</si>
  <si>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</si>
  <si>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</si>
  <si>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</si>
  <si>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</si>
  <si>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</si>
  <si>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</si>
  <si>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</si>
  <si>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</si>
  <si>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</si>
  <si>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</si>
  <si>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</si>
  <si>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</si>
  <si>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</si>
  <si>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</si>
  <si>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</si>
  <si>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</si>
  <si>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</si>
  <si>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</si>
  <si>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</si>
  <si>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</si>
  <si>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</si>
  <si>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</si>
  <si>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</si>
  <si>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</si>
  <si>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</si>
  <si>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</si>
  <si>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</si>
  <si>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</si>
  <si>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</si>
  <si>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</si>
  <si>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</si>
  <si>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</si>
  <si>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</si>
  <si>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</si>
  <si>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</si>
  <si>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</si>
  <si>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</si>
  <si>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</si>
  <si>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</si>
  <si>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</si>
  <si>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</si>
  <si>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</si>
  <si>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</si>
  <si>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</si>
  <si>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</si>
  <si>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</si>
  <si>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</si>
  <si>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</si>
  <si>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</si>
  <si>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</si>
  <si>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</si>
  <si>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</si>
  <si>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</si>
  <si>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</si>
  <si>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</si>
  <si>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</si>
  <si>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</si>
  <si>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</si>
  <si>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</si>
  <si>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</si>
  <si>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</si>
  <si>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</si>
  <si>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</si>
  <si>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</si>
  <si>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</si>
  <si>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</si>
  <si>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</si>
  <si>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</si>
  <si>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</si>
  <si>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</si>
  <si>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</si>
  <si>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</si>
  <si>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</si>
  <si>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</si>
  <si>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</si>
  <si>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</si>
  <si>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</si>
  <si>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</si>
  <si>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</si>
  <si>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</si>
  <si>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</si>
  <si>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</si>
  <si>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</si>
  <si>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</si>
  <si>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</si>
  <si>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</si>
  <si>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</si>
  <si>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</si>
  <si>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</si>
  <si>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</si>
  <si>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</si>
  <si>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</si>
  <si>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</si>
  <si>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</si>
  <si>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</si>
  <si>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</si>
  <si>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</si>
  <si>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</si>
  <si>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</si>
  <si>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</si>
  <si>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</si>
  <si>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</si>
  <si>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</si>
  <si>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</si>
  <si>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</si>
  <si>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</si>
  <si>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</si>
  <si>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</si>
  <si>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</si>
  <si>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</si>
  <si>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</si>
  <si>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</si>
  <si>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</si>
  <si>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</si>
  <si>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</si>
  <si>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</si>
  <si>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</si>
  <si>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</si>
  <si>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</si>
  <si>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</si>
  <si>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</si>
  <si>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</si>
  <si>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</si>
  <si>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</si>
  <si>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</si>
  <si>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</si>
  <si>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</si>
  <si>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</si>
  <si>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</si>
  <si>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</si>
  <si>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</si>
  <si>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</si>
  <si>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</si>
  <si>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</si>
  <si>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</si>
  <si>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</si>
  <si>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</si>
  <si>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</si>
  <si>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</si>
  <si>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</si>
  <si>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</si>
  <si>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</si>
  <si>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</si>
  <si>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</si>
  <si>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</si>
  <si>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</si>
  <si>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</si>
  <si>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</si>
  <si>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</si>
  <si>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</si>
  <si>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</si>
  <si>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</si>
  <si>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</si>
  <si>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</si>
  <si>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</si>
  <si>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</si>
  <si>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</si>
  <si>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</si>
  <si>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</si>
  <si>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</si>
  <si>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</si>
  <si>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</si>
  <si>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</si>
  <si>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</si>
  <si>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</si>
  <si>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</si>
  <si>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</si>
  <si>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</si>
  <si>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</si>
  <si>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</si>
  <si>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</si>
  <si>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</si>
  <si>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</si>
  <si>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</si>
  <si>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</si>
  <si>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</si>
  <si>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</si>
  <si>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</si>
  <si>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</si>
  <si>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</si>
  <si>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</si>
  <si>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</si>
  <si>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</si>
  <si>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</si>
  <si>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</si>
  <si>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</si>
  <si>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</si>
  <si>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</si>
  <si>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</si>
  <si>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</si>
  <si>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</si>
  <si>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</si>
  <si>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</si>
  <si>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</si>
  <si>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</si>
  <si>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</si>
  <si>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</si>
  <si>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</si>
  <si>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</si>
  <si>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</si>
  <si>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</si>
  <si>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</si>
  <si>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</si>
  <si>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</si>
  <si>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</si>
  <si>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</si>
  <si>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</si>
  <si>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</si>
  <si>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</si>
  <si>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</si>
  <si>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</si>
  <si>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</si>
  <si>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</si>
  <si>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</si>
  <si>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</si>
  <si>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</si>
  <si>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</si>
  <si>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</si>
  <si>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</si>
  <si>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</si>
  <si>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</si>
  <si>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</si>
  <si>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</si>
  <si>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</si>
  <si>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</si>
  <si>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</si>
  <si>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</si>
  <si>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</si>
  <si>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</si>
  <si>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</si>
  <si>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</si>
  <si>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</si>
  <si>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</si>
  <si>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</si>
  <si>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</si>
  <si>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</si>
  <si>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</si>
  <si>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</si>
  <si>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</si>
  <si>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</si>
  <si>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</si>
  <si>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</si>
  <si>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</si>
  <si>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</si>
  <si>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</si>
  <si>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</si>
  <si>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</si>
  <si>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</si>
  <si>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</si>
  <si>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</si>
  <si>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</si>
  <si>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</si>
  <si>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</si>
  <si>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</si>
  <si>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</si>
  <si>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</si>
  <si>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</si>
  <si>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</si>
  <si>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</si>
  <si>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</si>
  <si>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</si>
  <si>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</si>
  <si>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</si>
  <si>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</si>
  <si>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</si>
  <si>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</si>
  <si>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</si>
  <si>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</si>
  <si>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</si>
  <si>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</si>
  <si>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</si>
  <si>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</si>
  <si>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</si>
  <si>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</si>
  <si>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</si>
  <si>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</si>
  <si>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</si>
  <si>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</si>
  <si>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</si>
  <si>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</si>
  <si>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</si>
  <si>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</si>
  <si>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</si>
  <si>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</si>
  <si>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</si>
  <si>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</si>
  <si>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</si>
  <si>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</si>
  <si>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</si>
  <si>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</si>
  <si>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</si>
  <si>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</si>
  <si>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</si>
  <si>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</si>
  <si>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</si>
  <si>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</si>
  <si>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</si>
  <si>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</si>
  <si>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</si>
  <si>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</si>
  <si>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</si>
  <si>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</si>
  <si>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</si>
  <si>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</si>
  <si>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</si>
  <si>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</si>
  <si>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</si>
  <si>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</si>
  <si>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</si>
  <si>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</si>
  <si>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</si>
  <si>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</si>
  <si>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</si>
  <si>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</si>
  <si>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</si>
  <si>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</si>
  <si>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</si>
  <si>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</si>
  <si>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</si>
  <si>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</si>
  <si>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</si>
  <si>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</si>
  <si>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</si>
  <si>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</si>
  <si>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</si>
  <si>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</si>
  <si>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</si>
  <si>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</si>
  <si>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</si>
  <si>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</si>
  <si>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</si>
  <si>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</si>
  <si>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</si>
  <si>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</si>
  <si>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</si>
  <si>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</si>
  <si>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</si>
  <si>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</si>
  <si>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</si>
  <si>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</si>
  <si>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</si>
  <si>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</si>
  <si>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</si>
  <si>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</si>
  <si>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</si>
  <si>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</si>
  <si>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</si>
  <si>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</si>
  <si>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</si>
  <si>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</si>
  <si>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</si>
  <si>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</si>
  <si>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</si>
  <si>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</si>
  <si>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</si>
  <si>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</si>
  <si>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</si>
  <si>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</si>
  <si>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</si>
  <si>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</si>
  <si>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</si>
  <si>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</si>
  <si>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</si>
  <si>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</si>
  <si>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</si>
  <si>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</si>
  <si>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</si>
  <si>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</si>
  <si>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</si>
  <si>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</si>
  <si>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</si>
  <si>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</si>
  <si>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</si>
  <si>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</si>
  <si>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</si>
  <si>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</si>
  <si>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</si>
  <si>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</si>
  <si>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</si>
  <si>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</si>
  <si>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</si>
  <si>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</si>
  <si>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</si>
  <si>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</si>
  <si>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</si>
  <si>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</si>
  <si>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</si>
  <si>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</si>
  <si>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</si>
  <si>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</si>
  <si>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</si>
  <si>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</si>
  <si>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</si>
  <si>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</si>
  <si>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</si>
  <si>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</si>
  <si>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</si>
  <si>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</si>
  <si>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</si>
  <si>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</si>
  <si>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</si>
  <si>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</si>
  <si>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</si>
  <si>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</si>
  <si>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</si>
  <si>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</si>
  <si>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</si>
  <si>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</si>
  <si>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</si>
  <si>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</si>
  <si>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</si>
  <si>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</si>
  <si>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</si>
  <si>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</si>
  <si>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</si>
  <si>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</si>
  <si>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</si>
  <si>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</si>
  <si>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</si>
  <si>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</si>
  <si>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</si>
  <si>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</si>
  <si>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</si>
  <si>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</si>
  <si>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</si>
  <si>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</si>
  <si>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</si>
  <si>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</si>
  <si>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</si>
  <si>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</si>
  <si>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</si>
  <si>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</si>
  <si>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</si>
  <si>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</si>
  <si>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</si>
  <si>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</si>
  <si>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</si>
  <si>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</si>
  <si>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</si>
  <si>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</si>
  <si>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</si>
  <si>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</si>
  <si>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</si>
  <si>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</si>
  <si>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</si>
  <si>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</si>
  <si>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</si>
  <si>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</si>
  <si>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</si>
  <si>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</si>
  <si>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</si>
  <si>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</si>
  <si>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</si>
  <si>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</si>
  <si>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</si>
  <si>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</si>
  <si>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</si>
  <si>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</si>
  <si>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</si>
  <si>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</si>
  <si>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</si>
  <si>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</si>
  <si>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</si>
  <si>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</si>
  <si>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</si>
  <si>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</si>
  <si>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</si>
  <si>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</si>
  <si>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</si>
  <si>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</si>
  <si>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</si>
  <si>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</si>
  <si>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</si>
  <si>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</si>
  <si>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</si>
  <si>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</si>
  <si>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</si>
  <si>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</si>
  <si>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</si>
  <si>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</si>
  <si>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</si>
  <si>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</si>
  <si>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</si>
  <si>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</si>
  <si>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</si>
  <si>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</si>
  <si>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</si>
  <si>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</si>
  <si>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</si>
  <si>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</si>
  <si>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</si>
  <si>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</si>
  <si>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</si>
  <si>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</si>
  <si>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</si>
  <si>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</si>
  <si>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</si>
  <si>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</si>
  <si>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</si>
  <si>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</si>
  <si>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</si>
  <si>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</si>
  <si>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</si>
  <si>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</si>
  <si>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</si>
  <si>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</si>
  <si>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</si>
  <si>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</si>
  <si>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</si>
  <si>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</si>
  <si>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</si>
  <si>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</si>
  <si>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</si>
  <si>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</si>
  <si>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</si>
  <si>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</si>
  <si>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</si>
  <si>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</si>
  <si>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</si>
  <si>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</si>
  <si>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</si>
  <si>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</si>
  <si>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</si>
  <si>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</si>
  <si>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</si>
  <si>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</si>
  <si>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</si>
  <si>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</si>
  <si>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</si>
  <si>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</si>
  <si>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</si>
  <si>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</si>
  <si>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</si>
  <si>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</si>
  <si>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</si>
  <si>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</si>
  <si>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</si>
  <si>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</si>
  <si>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</si>
  <si>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</si>
  <si>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</si>
  <si>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</si>
  <si>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</si>
  <si>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</si>
  <si>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</si>
  <si>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</si>
  <si>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</si>
  <si>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</si>
  <si>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</si>
  <si>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</si>
  <si>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</si>
  <si>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</si>
  <si>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</si>
  <si>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</si>
  <si>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</si>
  <si>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</si>
  <si>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</si>
  <si>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</si>
  <si>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</si>
  <si>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</si>
  <si>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</si>
  <si>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</si>
  <si>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</si>
  <si>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</si>
  <si>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</si>
  <si>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</si>
  <si>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</si>
  <si>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</si>
  <si>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</si>
  <si>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</si>
  <si>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</si>
  <si>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</si>
  <si>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</si>
  <si>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</si>
  <si>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</si>
  <si>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</si>
  <si>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</si>
  <si>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</si>
  <si>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</si>
  <si>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</si>
  <si>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</si>
  <si>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</si>
  <si>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</si>
  <si>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</si>
  <si>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</si>
  <si>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</si>
  <si>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</si>
  <si>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</si>
  <si>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</si>
  <si>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</si>
  <si>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</si>
  <si>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</si>
  <si>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</si>
  <si>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</si>
  <si>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</si>
  <si>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</si>
  <si>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</si>
  <si>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</si>
  <si>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</si>
  <si>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</si>
  <si>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</si>
  <si>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</si>
  <si>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</si>
  <si>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</si>
  <si>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</si>
  <si>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</si>
  <si>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</si>
  <si>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</si>
  <si>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</si>
  <si>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</si>
  <si>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</si>
  <si>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</si>
  <si>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</si>
  <si>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</si>
  <si>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</si>
  <si>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</si>
  <si>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</si>
  <si>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</si>
  <si>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</si>
  <si>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</si>
  <si>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</si>
  <si>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</si>
  <si>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</si>
  <si>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</si>
  <si>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</si>
  <si>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</si>
  <si>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</si>
  <si>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</si>
  <si>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</si>
  <si>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</si>
  <si>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</si>
  <si>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</si>
  <si>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</si>
  <si>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</si>
  <si>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</si>
  <si>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</si>
  <si>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</si>
  <si>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</si>
  <si>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</si>
  <si>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</si>
  <si>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</si>
  <si>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</si>
  <si>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</si>
  <si>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</si>
  <si>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</si>
  <si>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</si>
  <si>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</si>
  <si>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</si>
  <si>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</si>
  <si>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</si>
  <si>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</si>
  <si>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</si>
  <si>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</si>
  <si>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</si>
  <si>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</si>
  <si>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</si>
  <si>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</si>
  <si>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</si>
  <si>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</si>
  <si>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</si>
  <si>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</si>
  <si>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</si>
  <si>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</si>
  <si>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</si>
  <si>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</si>
  <si>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</si>
  <si>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</si>
  <si>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</si>
  <si>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</si>
  <si>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</si>
  <si>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</si>
  <si>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</si>
  <si>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</si>
  <si>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</si>
  <si>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</si>
  <si>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</si>
  <si>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</si>
  <si>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</si>
  <si>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</si>
  <si>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</si>
  <si>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</si>
  <si>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</si>
  <si>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</si>
  <si>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</si>
  <si>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</si>
  <si>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</si>
  <si>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</si>
  <si>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</si>
  <si>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</si>
  <si>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</si>
  <si>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</si>
  <si>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</si>
  <si>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</si>
  <si>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</si>
  <si>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</si>
  <si>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</si>
  <si>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</si>
  <si>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</si>
  <si>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</si>
  <si>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</si>
  <si>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</si>
  <si>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</si>
  <si>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</si>
  <si>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</si>
  <si>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</si>
  <si>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</si>
  <si>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</si>
  <si>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</si>
  <si>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</si>
  <si>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</si>
  <si>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</si>
  <si>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</si>
  <si>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</si>
  <si>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</si>
  <si>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</si>
  <si>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</si>
  <si>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</si>
  <si>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</si>
  <si>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</si>
  <si>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</si>
  <si>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</si>
  <si>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</si>
  <si>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</si>
  <si>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</si>
  <si>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</si>
  <si>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</si>
  <si>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</si>
  <si>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</si>
  <si>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</si>
  <si>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</si>
  <si>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</si>
  <si>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</si>
  <si>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</si>
  <si>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</si>
  <si>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</si>
  <si>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</si>
  <si>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</si>
  <si>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</si>
  <si>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</si>
  <si>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</si>
  <si>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</si>
  <si>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</si>
  <si>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</si>
  <si>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</si>
  <si>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</si>
  <si>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</si>
  <si>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</si>
  <si>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</si>
  <si>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</si>
  <si>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</si>
  <si>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</si>
  <si>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</si>
  <si>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</si>
  <si>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</si>
  <si>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</si>
  <si>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</si>
  <si>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</si>
  <si>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</si>
  <si>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</si>
  <si>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</si>
  <si>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</si>
  <si>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</si>
  <si>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</si>
  <si>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</si>
  <si>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</si>
  <si>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</si>
  <si>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</si>
  <si>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</si>
  <si>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</si>
  <si>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</si>
  <si>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</si>
  <si>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</si>
  <si>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</si>
  <si>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</si>
  <si>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</si>
  <si>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</si>
  <si>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</si>
  <si>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</si>
  <si>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</si>
  <si>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</si>
  <si>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</si>
  <si>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</si>
  <si>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</si>
  <si>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</si>
  <si>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</si>
  <si>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</si>
  <si>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</si>
  <si>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</si>
  <si>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</si>
  <si>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</si>
  <si>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</si>
  <si>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</si>
  <si>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</si>
  <si>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</si>
  <si>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</si>
  <si>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</si>
  <si>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</si>
  <si>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</si>
  <si>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</si>
  <si>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</si>
  <si>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</si>
  <si>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</si>
  <si>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</si>
  <si>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</si>
  <si>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</si>
  <si>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</si>
  <si>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</si>
  <si>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</si>
  <si>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</si>
  <si>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</si>
  <si>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</si>
  <si>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</si>
  <si>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</si>
  <si>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</si>
  <si>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</si>
  <si>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</si>
  <si>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</si>
  <si>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</si>
  <si>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</si>
  <si>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</si>
  <si>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</si>
  <si>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</si>
  <si>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</si>
  <si>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</si>
  <si>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</si>
  <si>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</si>
  <si>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</si>
  <si>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</si>
  <si>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</si>
  <si>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</si>
  <si>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</si>
  <si>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</si>
  <si>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</si>
  <si>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</si>
  <si>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</si>
  <si>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</si>
  <si>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</si>
  <si>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</si>
  <si>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</si>
  <si>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</si>
  <si>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</si>
  <si>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</si>
  <si>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</si>
  <si>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</si>
  <si>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</si>
  <si>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</si>
  <si>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</si>
  <si>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</si>
  <si>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</si>
  <si>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</si>
  <si>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</si>
  <si>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</si>
  <si>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</si>
  <si>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</si>
  <si>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</si>
  <si>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</si>
  <si>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</si>
  <si>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</si>
  <si>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</si>
  <si>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</si>
  <si>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</si>
  <si>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</si>
  <si>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</si>
  <si>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</si>
  <si>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</si>
  <si>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</si>
  <si>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</si>
  <si>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</si>
  <si>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</si>
  <si>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</si>
  <si>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</si>
  <si>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</si>
  <si>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</si>
  <si>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</si>
  <si>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</si>
  <si>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</si>
  <si>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</si>
  <si>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</si>
  <si>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</si>
  <si>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</si>
  <si>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</si>
  <si>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</si>
  <si>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</si>
  <si>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</si>
  <si>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</si>
  <si>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</si>
  <si>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</si>
  <si>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</si>
  <si>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</si>
  <si>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</si>
  <si>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</si>
  <si>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</si>
  <si>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</si>
  <si>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</si>
  <si>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</si>
  <si>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</si>
  <si>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</si>
  <si>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</si>
  <si>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</si>
  <si>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</si>
  <si>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</si>
  <si>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</si>
  <si>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</si>
  <si>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</si>
  <si>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</si>
  <si>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</si>
  <si>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</si>
  <si>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</si>
  <si>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</si>
  <si>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</si>
  <si>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</si>
  <si>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</si>
  <si>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</si>
  <si>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</si>
  <si>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</si>
  <si>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</si>
  <si>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</si>
  <si>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</si>
  <si>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</si>
  <si>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</si>
  <si>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</si>
  <si>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</si>
  <si>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</si>
  <si>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</si>
  <si>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</si>
  <si>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</si>
  <si>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</si>
  <si>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</si>
  <si>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</si>
  <si>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</si>
  <si>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</si>
  <si>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</si>
  <si>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</si>
  <si>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</si>
  <si>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</si>
  <si>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</si>
  <si>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</si>
  <si>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</si>
  <si>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</si>
  <si>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</si>
  <si>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</si>
  <si>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</si>
  <si>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</si>
  <si>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</si>
  <si>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</si>
  <si>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</si>
  <si>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</si>
  <si>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</si>
  <si>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</si>
  <si>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</si>
  <si>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</si>
  <si>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</si>
  <si>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</si>
  <si>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</si>
  <si>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</si>
  <si>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</si>
  <si>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</si>
  <si>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</si>
  <si>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</si>
  <si>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</si>
  <si>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</si>
  <si>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</si>
  <si>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</si>
  <si>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</si>
  <si>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</si>
  <si>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</si>
  <si>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</si>
  <si>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</si>
  <si>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</si>
  <si>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</si>
  <si>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</si>
  <si>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</si>
  <si>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</si>
  <si>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</si>
  <si>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</si>
  <si>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</si>
  <si>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</si>
  <si>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</si>
  <si>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</si>
  <si>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</si>
  <si>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</si>
  <si>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</si>
  <si>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</si>
  <si>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</si>
  <si>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</si>
  <si>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</si>
  <si>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</si>
  <si>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</si>
  <si>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</si>
  <si>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</si>
  <si>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</si>
  <si>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</si>
  <si>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</si>
  <si>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</si>
  <si>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</si>
  <si>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</si>
  <si>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</si>
  <si>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</si>
  <si>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</si>
  <si>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</si>
  <si>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</si>
  <si>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</si>
  <si>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</si>
  <si>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</si>
  <si>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</si>
  <si>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</si>
  <si>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</si>
  <si>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</si>
  <si>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</si>
  <si>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</si>
  <si>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</si>
  <si>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</si>
  <si>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</si>
  <si>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</si>
  <si>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</si>
  <si>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</si>
  <si>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</si>
  <si>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</si>
  <si>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</si>
  <si>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</si>
  <si>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</si>
  <si>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</si>
  <si>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</si>
  <si>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</si>
  <si>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</si>
  <si>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</si>
  <si>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</si>
  <si>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</si>
  <si>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</si>
  <si>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</si>
  <si>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</si>
  <si>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</si>
  <si>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</si>
  <si>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</si>
  <si>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</si>
  <si>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</si>
  <si>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</si>
  <si>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</si>
  <si>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</si>
  <si>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</si>
  <si>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</si>
  <si>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</si>
  <si>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</si>
  <si>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</si>
  <si>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</si>
  <si>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</si>
  <si>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</si>
  <si>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</si>
  <si>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</si>
  <si>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</si>
  <si>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</si>
  <si>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</si>
  <si>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</si>
  <si>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</si>
  <si>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</si>
  <si>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</si>
  <si>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</si>
  <si>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</si>
  <si>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</si>
  <si>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</si>
  <si>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</si>
  <si>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</si>
  <si>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</si>
  <si>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</si>
  <si>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</si>
  <si>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</si>
  <si>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</si>
  <si>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</si>
  <si>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</si>
  <si>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</si>
  <si>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</si>
  <si>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</si>
  <si>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</si>
  <si>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</si>
  <si>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</si>
  <si>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</si>
  <si>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</si>
  <si>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</si>
  <si>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</si>
  <si>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</si>
  <si>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</si>
  <si>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</si>
  <si>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</si>
  <si>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</si>
  <si>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</si>
  <si>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</si>
  <si>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</si>
  <si>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</si>
  <si>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</si>
  <si>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</si>
  <si>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</si>
  <si>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</si>
  <si>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</si>
  <si>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</si>
  <si>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</si>
  <si>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</si>
  <si>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</si>
  <si>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</si>
  <si>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</si>
  <si>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</si>
  <si>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</si>
  <si>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</si>
  <si>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</si>
  <si>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</si>
  <si>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</si>
  <si>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</si>
  <si>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</si>
  <si>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</si>
  <si>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</si>
  <si>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</si>
  <si>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</si>
  <si>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</si>
  <si>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</si>
  <si>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</si>
  <si>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</si>
  <si>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</si>
  <si>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</si>
  <si>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</si>
  <si>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</si>
  <si>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</si>
  <si>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</si>
  <si>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</si>
  <si>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</si>
  <si>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</si>
  <si>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</si>
  <si>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</si>
  <si>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</si>
  <si>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</si>
  <si>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</si>
  <si>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</si>
  <si>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</si>
  <si>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</si>
  <si>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</si>
  <si>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</si>
  <si>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</si>
  <si>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</si>
  <si>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</si>
  <si>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</si>
  <si>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</si>
  <si>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</si>
  <si>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</si>
  <si>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</si>
  <si>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</si>
  <si>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</si>
  <si>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</si>
  <si>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</si>
  <si>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</si>
  <si>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</si>
  <si>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</si>
  <si>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</si>
  <si>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</si>
  <si>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</si>
  <si>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</si>
  <si>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</si>
  <si>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</si>
  <si>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</si>
  <si>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</si>
  <si>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</si>
  <si>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</si>
  <si>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</si>
  <si>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</si>
  <si>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</si>
  <si>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</si>
  <si>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</si>
  <si>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</si>
  <si>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</si>
  <si>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</si>
  <si>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</si>
  <si>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</si>
  <si>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</si>
  <si>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</si>
  <si>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</si>
  <si>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</si>
  <si>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</si>
  <si>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</si>
  <si>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</si>
  <si>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</si>
  <si>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</si>
  <si>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</si>
  <si>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</si>
  <si>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</si>
  <si>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</si>
  <si>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</si>
  <si>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</si>
  <si>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</si>
  <si>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</si>
  <si>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</si>
  <si>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</si>
  <si>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</si>
  <si>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</si>
  <si>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</si>
  <si>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</si>
  <si>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</si>
  <si>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</si>
  <si>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</si>
  <si>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</si>
  <si>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</si>
  <si>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</si>
  <si>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</si>
  <si>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</si>
  <si>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</si>
  <si>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</si>
  <si>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</si>
  <si>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</si>
  <si>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</si>
  <si>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</si>
  <si>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</si>
  <si>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</si>
  <si>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</si>
  <si>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</si>
  <si>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</si>
  <si>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</si>
  <si>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</si>
  <si>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</si>
  <si>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</si>
  <si>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</si>
  <si>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</si>
  <si>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</si>
  <si>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</si>
  <si>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</si>
  <si>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</si>
  <si>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</si>
  <si>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</si>
  <si>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</si>
  <si>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</si>
  <si>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</si>
  <si>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</si>
  <si>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</si>
  <si>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</si>
  <si>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</si>
  <si>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</si>
  <si>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</si>
  <si>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</si>
  <si>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</si>
  <si>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</si>
  <si>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</si>
  <si>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</si>
  <si>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</si>
  <si>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</si>
  <si>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</si>
  <si>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</si>
  <si>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</si>
  <si>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</si>
  <si>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</si>
  <si>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</si>
  <si>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</si>
  <si>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</si>
  <si>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</si>
  <si>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</si>
  <si>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</si>
  <si>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</si>
  <si>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</si>
  <si>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</si>
  <si>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</si>
  <si>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</si>
  <si>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</si>
  <si>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</si>
  <si>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</si>
  <si>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</si>
  <si>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</si>
  <si>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</si>
  <si>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</si>
  <si>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</si>
  <si>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</si>
  <si>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</si>
  <si>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</si>
  <si>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</si>
  <si>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</si>
  <si>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</si>
  <si>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</si>
  <si>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</si>
  <si>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</si>
  <si>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</si>
  <si>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</si>
  <si>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</si>
  <si>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</si>
  <si>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</si>
  <si>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</si>
  <si>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</si>
  <si>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</si>
  <si>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</si>
  <si>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</si>
  <si>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</si>
  <si>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</si>
  <si>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</si>
  <si>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</si>
  <si>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</si>
  <si>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</si>
  <si>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</si>
  <si>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</si>
  <si>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</si>
  <si>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</si>
  <si>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</si>
  <si>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</si>
  <si>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</si>
  <si>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</si>
  <si>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</si>
  <si>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</si>
  <si>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</si>
  <si>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</si>
  <si>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</si>
  <si>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</si>
  <si>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</si>
  <si>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</si>
  <si>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</si>
  <si>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</si>
  <si>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</si>
  <si>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</si>
  <si>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</si>
  <si>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</si>
  <si>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</si>
  <si>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</si>
  <si>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</si>
  <si>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</si>
  <si>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</si>
  <si>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</si>
  <si>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</si>
  <si>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</si>
  <si>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</si>
  <si>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</si>
  <si>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</si>
  <si>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</si>
  <si>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</si>
  <si>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</si>
  <si>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</si>
  <si>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</si>
  <si>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</si>
  <si>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</si>
  <si>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</si>
  <si>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</si>
  <si>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</si>
  <si>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</si>
  <si>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</si>
  <si>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</si>
  <si>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</si>
  <si>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</si>
  <si>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</si>
  <si>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</si>
  <si>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</si>
  <si>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</si>
  <si>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</si>
  <si>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</si>
  <si>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</si>
  <si>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</si>
  <si>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</si>
  <si>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</si>
  <si>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</si>
  <si>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</si>
  <si>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</si>
  <si>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</si>
  <si>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</si>
  <si>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</si>
  <si>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</si>
  <si>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</si>
  <si>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</si>
  <si>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</si>
  <si>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</si>
  <si>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</si>
  <si>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</si>
  <si>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</si>
  <si>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</si>
  <si>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</si>
  <si>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</si>
  <si>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</si>
  <si>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</si>
  <si>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</si>
  <si>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</si>
  <si>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</si>
  <si>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</si>
  <si>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</si>
  <si>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</si>
  <si>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</si>
  <si>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</si>
  <si>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</si>
  <si>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</si>
  <si>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</si>
  <si>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</si>
  <si>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</si>
  <si>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</si>
  <si>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</si>
  <si>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</si>
  <si>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</si>
  <si>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</si>
  <si>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</si>
  <si>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</si>
  <si>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</si>
  <si>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</si>
  <si>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</si>
  <si>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</si>
  <si>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</si>
  <si>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</si>
  <si>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</si>
  <si>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</si>
  <si>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</si>
  <si>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</si>
  <si>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</si>
  <si>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</si>
  <si>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</si>
  <si>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</si>
  <si>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</si>
  <si>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</si>
  <si>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</si>
  <si>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</si>
  <si>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</si>
  <si>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</si>
  <si>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</si>
  <si>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</si>
  <si>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</si>
  <si>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</si>
  <si>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</si>
  <si>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</si>
  <si>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</si>
  <si>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</si>
  <si>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</si>
  <si>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</si>
  <si>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</si>
  <si>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</si>
  <si>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</si>
  <si>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</si>
  <si>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</si>
  <si>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</si>
  <si>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</si>
  <si>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</si>
  <si>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</si>
  <si>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</si>
  <si>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</si>
  <si>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</si>
  <si>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</si>
  <si>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</si>
  <si>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</si>
  <si>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</si>
  <si>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</si>
  <si>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</si>
  <si>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</si>
  <si>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</si>
  <si>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</si>
  <si>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</si>
  <si>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</si>
  <si>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</si>
  <si>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</si>
  <si>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</si>
  <si>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</si>
  <si>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</si>
  <si>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</si>
  <si>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</si>
  <si>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</si>
  <si>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</si>
  <si>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</si>
  <si>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</si>
  <si>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</si>
  <si>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</si>
  <si>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</si>
  <si>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</si>
  <si>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</si>
  <si>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</si>
  <si>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</si>
  <si>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</si>
  <si>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</si>
  <si>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</si>
  <si>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</si>
  <si>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</si>
  <si>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</si>
  <si>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</si>
  <si>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</si>
  <si>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</si>
  <si>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</si>
  <si>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</si>
  <si>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</si>
  <si>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</si>
  <si>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</si>
  <si>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</si>
  <si>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</si>
  <si>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</si>
  <si>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</si>
  <si>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</si>
  <si>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</si>
  <si>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</si>
  <si>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</si>
  <si>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</si>
  <si>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</si>
  <si>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</si>
  <si>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</si>
  <si>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</si>
  <si>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</si>
  <si>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</si>
  <si>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</si>
  <si>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</si>
  <si>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</si>
  <si>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</si>
  <si>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</si>
  <si>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</si>
  <si>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</si>
  <si>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</si>
  <si>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</si>
  <si>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</si>
  <si>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</si>
  <si>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</si>
  <si>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</si>
  <si>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</si>
  <si>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</si>
  <si>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</si>
  <si>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</si>
  <si>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</si>
  <si>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</si>
  <si>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</si>
  <si>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</si>
  <si>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</si>
  <si>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</si>
  <si>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</si>
  <si>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</si>
  <si>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</si>
  <si>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</si>
  <si>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</si>
  <si>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</si>
  <si>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</si>
  <si>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</si>
  <si>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</si>
  <si>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</si>
  <si>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</si>
  <si>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</si>
  <si>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</si>
  <si>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</si>
  <si>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</si>
  <si>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</si>
  <si>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</si>
  <si>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</si>
  <si>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</si>
  <si>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</si>
  <si>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</si>
  <si>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</si>
  <si>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</si>
  <si>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</si>
  <si>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</si>
  <si>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</si>
  <si>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</si>
  <si>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</si>
  <si>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</si>
  <si>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</si>
  <si>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</si>
  <si>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</si>
  <si>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</si>
  <si>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</si>
  <si>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</si>
  <si>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</si>
  <si>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</si>
  <si>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</si>
  <si>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</si>
  <si>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</si>
  <si>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</si>
  <si>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</si>
  <si>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</si>
  <si>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</si>
  <si>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</si>
  <si>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</si>
  <si>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</si>
  <si>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</si>
  <si>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</si>
  <si>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</si>
  <si>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</si>
  <si>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</si>
  <si>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</si>
  <si>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</si>
  <si>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</si>
  <si>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</si>
  <si>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</si>
  <si>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</si>
  <si>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</si>
  <si>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</si>
  <si>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</si>
  <si>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</si>
  <si>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</si>
  <si>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</si>
  <si>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</si>
  <si>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</si>
  <si>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</si>
  <si>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</si>
  <si>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</si>
  <si>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</si>
  <si>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</si>
  <si>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</si>
  <si>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</si>
  <si>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</si>
  <si>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</si>
  <si>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</si>
  <si>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</si>
  <si>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</si>
  <si>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</si>
  <si>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</si>
  <si>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</si>
  <si>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</si>
  <si>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</si>
  <si>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</si>
  <si>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</si>
  <si>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</si>
  <si>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</si>
  <si>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</si>
  <si>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</si>
  <si>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</si>
  <si>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</si>
  <si>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</si>
  <si>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</si>
  <si>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</si>
  <si>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</si>
  <si>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</si>
  <si>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</si>
  <si>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</si>
  <si>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</si>
  <si>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</si>
  <si>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</si>
  <si>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</si>
  <si>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</si>
  <si>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</si>
  <si>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</si>
  <si>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</si>
  <si>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</si>
  <si>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</si>
  <si>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</si>
  <si>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</si>
  <si>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</si>
  <si>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</si>
  <si>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</si>
  <si>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</si>
  <si>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</si>
  <si>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</si>
  <si>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</si>
  <si>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</si>
  <si>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</si>
  <si>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</si>
  <si>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</si>
  <si>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</si>
  <si>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</si>
  <si>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</si>
  <si>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</si>
  <si>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</si>
  <si>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</si>
  <si>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</si>
  <si>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</si>
  <si>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</si>
  <si>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</si>
  <si>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</si>
  <si>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</si>
  <si>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</si>
  <si>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</si>
  <si>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</si>
  <si>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</si>
  <si>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</si>
  <si>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</si>
  <si>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</si>
  <si>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</si>
  <si>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</si>
  <si>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</si>
  <si>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</si>
  <si>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</si>
  <si>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</si>
  <si>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</si>
  <si>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</si>
  <si>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</si>
  <si>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</si>
  <si>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</si>
  <si>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</si>
  <si>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</si>
  <si>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</si>
  <si>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</si>
  <si>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</si>
  <si>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</si>
  <si>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</si>
  <si>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</si>
  <si>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</si>
  <si>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</si>
  <si>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</si>
  <si>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</si>
  <si>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</si>
  <si>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</si>
  <si>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</si>
  <si>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</si>
  <si>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</si>
  <si>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</si>
  <si>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</si>
  <si>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</si>
  <si>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</si>
  <si>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</si>
  <si>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</si>
  <si>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</si>
  <si>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</si>
  <si>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</si>
  <si>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</si>
  <si>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</si>
  <si>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</si>
  <si>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</si>
  <si>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</si>
  <si>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</si>
  <si>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</si>
  <si>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</si>
  <si>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</si>
  <si>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</si>
  <si>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</si>
  <si>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</si>
  <si>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</si>
  <si>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</si>
  <si>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</si>
  <si>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</si>
  <si>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</si>
  <si>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</si>
  <si>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</si>
  <si>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</si>
  <si>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</si>
  <si>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</si>
  <si>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</si>
  <si>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</si>
  <si>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</si>
  <si>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</si>
  <si>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</si>
  <si>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</si>
  <si>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</si>
  <si>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</si>
  <si>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</si>
  <si>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</si>
  <si>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</si>
  <si>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</si>
  <si>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</si>
  <si>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</si>
  <si>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</si>
  <si>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</si>
  <si>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</si>
  <si>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</si>
  <si>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</si>
  <si>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</si>
  <si>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</si>
  <si>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</si>
  <si>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</si>
  <si>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</si>
  <si>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</si>
  <si>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</si>
  <si>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</si>
  <si>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</si>
  <si>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</si>
  <si>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</si>
  <si>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</si>
  <si>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</si>
  <si>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</si>
  <si>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</si>
  <si>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</si>
  <si>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</si>
  <si>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</si>
  <si>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</si>
  <si>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</si>
  <si>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</si>
  <si>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</si>
  <si>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</si>
  <si>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</si>
  <si>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titleNewbieClass01</t>
  </si>
  <si>
    <t>新手课堂一：答题奖励的原理是什么?</t>
  </si>
  <si>
    <t>textNewbieClass0101</t>
  </si>
  <si>
    <t>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t>
  </si>
  <si>
    <t>textNewbieClass0102</t>
  </si>
  <si>
    <t>如何理解获胜奖？\n获胜奖是一种分配相对平均的奖励，即所有“获胜者”一起共享奖池，造成奖励不同的唯一因素就是持有笔的不同。</t>
  </si>
  <si>
    <t>textNewbieClass0103</t>
  </si>
  <si>
    <t>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t>
  </si>
  <si>
    <t>textNewbieClass0104</t>
  </si>
  <si>
    <t>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t>
  </si>
  <si>
    <t>textNewbieClass0105</t>
  </si>
  <si>
    <t>*投票早期已投的票数很少，上升较大幅度很容易；越临近截止，上升同样的幅度越难。我们的算法考虑到了这一点，引入了额外投票阶段系数作为平衡，保证在任何时间点投票，辩证奖励都的计算都是公平的。</t>
  </si>
  <si>
    <t>textNewbieClass0106</t>
  </si>
  <si>
    <t>下一期，我们将向大家分享点赞奖和理由奖的原理。</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</si>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</sst>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6">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49" fontId="0" fillId="0" borderId="0" xfId="0" applyNumberFormat="1" applyFont="1" applyFill="1" applyBorder="1" applyAlignment="1" applyProtection="1">
      <protection locked="0"/>
    </xf>
    <xf numFmtId="0" fontId="0" fillId="0" borderId="0" xfId="0" applyAlignment="1"/>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00"/>
  <sheetViews>
    <sheetView tabSelected="1" workbookViewId="0">
      <pane ySplit="2" topLeftCell="A1090" activePane="bottomLeft" state="frozen"/>
      <selection/>
      <selection pane="bottomLeft" activeCell="C1097" sqref="C1097"/>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"获奖榜",</v>
      </c>
      <c r="N236" s="12" t="str">
        <f t="shared" si="53"/>
        <v>  "textProfitRanking": "獲獎榜",</v>
      </c>
      <c r="O236" s="12" t="str">
        <f t="shared" si="54"/>
        <v>  "textProfitRanking": "Winner Ranking",</v>
      </c>
      <c r="P236" s="12" t="str">
        <f t="shared" si="55"/>
        <v>  "textProfitRanking": "Classificação dos Vencedores",</v>
      </c>
      <c r="Q236" s="12" t="str">
        <f t="shared" si="56"/>
        <v>  "textProfitRanking": "Clasificación de Ganadores",</v>
      </c>
      <c r="R236" s="12" t="str">
        <f t="shared" si="57"/>
        <v>  "textProfitRanking": "優勝者ランキング",</v>
      </c>
      <c r="S236" s="12" t="str">
        <f t="shared" si="58"/>
        <v>  "textProfitRanking": "우승자 순위",</v>
      </c>
      <c r="T236" s="12" t="str">
        <f t="shared" si="59"/>
        <v>  "textProfitRanking": "Xếp hạng người chiến thắng",</v>
      </c>
      <c r="U236" s="12" t="str">
        <f t="shared" si="60"/>
        <v>  "textProfitRanking": "Рейтинг победителей",</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"Другие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"有新趋势问题",</v>
      </c>
      <c r="N640" s="12" t="str">
        <f t="shared" si="115"/>
        <v>  "textNewPublicQuestion": "有新趨勢問題",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 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"Trending progress",</v>
      </c>
      <c r="P822" s="12" t="str">
        <f t="shared" si="162"/>
        <v>  "textQueuingProgress": "Tendências de progresso",</v>
      </c>
      <c r="Q822" s="12" t="str">
        <f t="shared" si="163"/>
        <v>  "textQueuingProgress": "Progreso de tendencia",</v>
      </c>
      <c r="R822" s="12" t="str">
        <f t="shared" si="164"/>
        <v>  "textQueuingProgress": "進捗状況の傾向",</v>
      </c>
      <c r="S822" s="12" t="str">
        <f t="shared" si="165"/>
        <v>  "textQueuingProgress": "추세 진행 상황",</v>
      </c>
      <c r="T822" s="12" t="str">
        <f t="shared" si="166"/>
        <v>  "textQueuingProgress": "Xu hướng tiến bộ",</v>
      </c>
      <c r="U822" s="12" t="str">
        <f t="shared" si="167"/>
        <v>  "textQueuingProgress": "Тенденции прогресса",</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"请确保您拥有足够的MATIC。铸造的机会将为您保留24小时，您稍后可以在盲盒页面进行铸造。",</v>
      </c>
      <c r="N827" s="12" t="str">
        <f t="shared" si="160"/>
        <v>  "textGetNFTMintChance": "請確保您擁有足夠的MATIC。鑄造的機會將為您保留24小時，您稍後可以在盲盒頁面進行鑄造。",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3" si="207">"  """&amp;$B1070&amp;""": """&amp;C1070&amp;""""&amp;IF(COUNTA($B1071)=1,",","")</f>
        <v>  "textVoteRule01": "投票时，同时持有SBT和NFT，二者票数叠加。",</v>
      </c>
      <c r="N1070" s="12" t="str">
        <f t="shared" ref="N1070:N1093" si="208">"  """&amp;$B1070&amp;""": """&amp;D1070&amp;""""&amp;IF(COUNTA($B1071)=1,",","")</f>
        <v>  "textVoteRule01": "投票時，同時持有SBT和NFT，二者票數疊加。",</v>
      </c>
      <c r="O1070" s="12" t="str">
        <f t="shared" ref="O1070:O1093" si="209">"  """&amp;$B1070&amp;""": """&amp;E1070&amp;""""&amp;IF(COUNTA($B1071)=1,",","")</f>
        <v>  "textVoteRule01": "Hold SBT and NFT when voting, and the votes of the two will be superimposed.",</v>
      </c>
      <c r="P1070" s="12" t="str">
        <f t="shared" ref="P1070:P1093" si="210">"  """&amp;$B1070&amp;""": """&amp;F1070&amp;""""&amp;IF(COUNTA($B1071)=1,",","")</f>
        <v>  "textVoteRule01": "Segure SBT e NFT na hora de votar, e os votos dos dois serão sobrepostos.",</v>
      </c>
      <c r="Q1070" s="12" t="str">
        <f t="shared" ref="Q1070:Q1093" si="211">"  """&amp;$B1070&amp;""": """&amp;G1070&amp;""""&amp;IF(COUNTA($B1071)=1,",","")</f>
        <v>  "textVoteRule01": "Mantenga SBT y NFT al votar, y los votos de los dos se superpondrán.",</v>
      </c>
      <c r="R1070" s="12" t="str">
        <f t="shared" ref="R1070:R1093" si="212">"  """&amp;$B1070&amp;""": """&amp;H1070&amp;""""&amp;IF(COUNTA($B1071)=1,",","")</f>
        <v>  "textVoteRule01": "投票时にSBTとNFTをホールドすると、両者の票が重畳されます。",</v>
      </c>
      <c r="S1070" s="12" t="str">
        <f t="shared" ref="S1070:S1093" si="213">"  """&amp;$B1070&amp;""": """&amp;I1070&amp;""""&amp;IF(COUNTA($B1071)=1,",","")</f>
        <v>  "textVoteRule01": "투표 시 SBT와 NFT를 보유하고 있으면 두 사람의 투표가 중첩됩니다.",</v>
      </c>
      <c r="T1070" s="12" t="str">
        <f t="shared" ref="T1070:T1093" si="214">"  """&amp;$B1070&amp;""": """&amp;J1070&amp;""""&amp;IF(COUNTA($B1071)=1,",","")</f>
        <v>  "textVoteRule01": "Giữ SBT và NFT khi bỏ phiếu và phiếu bầu của cả hai sẽ được xếp chồng lên nhau.",</v>
      </c>
      <c r="U1070" s="12" t="str">
        <f t="shared" ref="U1070:U1093"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eleitores, um instantâneo da taxa de votação pode ser exibido",</v>
      </c>
      <c r="Q1078" s="12" t="str">
        <f t="shared" si="211"/>
        <v>  "textPreXDisplayVoteRate": "Después de {value1} votantes,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3"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f t="shared" si="216"/>
        <v>101089</v>
      </c>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f t="shared" si="216"/>
        <v>101090</v>
      </c>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ht="126" spans="1:21">
      <c r="A1093" s="18">
        <f t="shared" si="216"/>
        <v>101091</v>
      </c>
      <c r="B1093" s="9" t="s">
        <v>9701</v>
      </c>
      <c r="C1093" s="1" t="s">
        <v>9702</v>
      </c>
      <c r="D1093" s="1" t="s">
        <v>9703</v>
      </c>
      <c r="E1093" s="2" t="s">
        <v>9704</v>
      </c>
      <c r="F1093" s="3" t="s">
        <v>9705</v>
      </c>
      <c r="G1093" s="1" t="s">
        <v>9706</v>
      </c>
      <c r="H1093" s="1" t="s">
        <v>9707</v>
      </c>
      <c r="I1093" s="1" t="s">
        <v>9708</v>
      </c>
      <c r="J1093" s="3" t="s">
        <v>9709</v>
      </c>
      <c r="K1093" s="3" t="s">
        <v>9710</v>
      </c>
      <c r="M1093" s="12" t="str">
        <f t="shared" ref="M1093:M1099" si="217">"  """&amp;$B1093&amp;""": """&amp;C1093&amp;""""&amp;IF(COUNTA($B1094)=1,",","")</f>
        <v>  "tipsNotEnoughPoint": "您有 {value1} 积分，需要购买至少 {value2} 积分才能继续操作",</v>
      </c>
      <c r="N1093" s="12" t="str">
        <f t="shared" ref="N1093:N1099" si="218">"  """&amp;$B1093&amp;""": """&amp;D1093&amp;""""&amp;IF(COUNTA($B1094)=1,",","")</f>
        <v>  "tipsNotEnoughPoint": "您有 {value1} 積分，需要購買至少 {value2} 積分才能繼續操作",</v>
      </c>
      <c r="O1093" s="12" t="str">
        <f t="shared" ref="O1093:O1099" si="219">"  """&amp;$B1093&amp;""": """&amp;E1093&amp;""""&amp;IF(COUNTA($B1094)=1,",","")</f>
        <v>  "tipsNotEnoughPoint": "You have {value1} points and need to purchase at least {value2} points to continue operation",</v>
      </c>
      <c r="P1093" s="12" t="str">
        <f t="shared" ref="P1093:P1099" si="220">"  """&amp;$B1093&amp;""": """&amp;F1093&amp;""""&amp;IF(COUNTA($B1094)=1,",","")</f>
        <v>  "tipsNotEnoughPoint": "Você tem {value1} pontos e precisa comprar pelo menos {value2} pontos para continuar a operação",</v>
      </c>
      <c r="Q1093" s="12" t="str">
        <f t="shared" ref="Q1093:Q1099" si="221">"  """&amp;$B1093&amp;""": """&amp;G1093&amp;""""&amp;IF(COUNTA($B1094)=1,",","")</f>
        <v>  "tipsNotEnoughPoint": "Tienes {value1} puntos y necesitas comprar al menos {value2} puntos para continuar con la operación",</v>
      </c>
      <c r="R1093" s="12" t="str">
        <f t="shared" ref="R1093:R1099" si="222">"  """&amp;$B1093&amp;""": """&amp;H1093&amp;""""&amp;IF(COUNTA($B1094)=1,",","")</f>
        <v>  "tipsNotEnoughPoint": "{value1} ポイントを所有していますが、操作を続行するには少なくとも {value2} ポイントを購入する必要があります",</v>
      </c>
      <c r="S1093" s="12" t="str">
        <f t="shared" ref="S1093:S1099" si="223">"  """&amp;$B1093&amp;""": """&amp;I1093&amp;""""&amp;IF(COUNTA($B1094)=1,",","")</f>
        <v>  "tipsNotEnoughPoint": "귀하는 {value1} 포인트를 보유하고 있으며 계속 운영하려면 최소 {value2} 포인트를 구매해야 합니다.",</v>
      </c>
      <c r="T1093" s="12" t="str">
        <f t="shared" ref="T1093:T1099" si="224">"  """&amp;$B1093&amp;""": """&amp;J1093&amp;""""&amp;IF(COUNTA($B1094)=1,",","")</f>
        <v>  "tipsNotEnoughPoint": "Bạn có {value1} điểm và cần mua ít nhất {value2} điểm để tiếp tục hoạt động",</v>
      </c>
      <c r="U1093" s="12" t="str">
        <f t="shared" ref="U1093:U1099" si="225">"  """&amp;$B1093&amp;""": """&amp;K1093&amp;""""&amp;IF(COUNTA($B1094)=1,",","")</f>
        <v>  "tipsNotEnoughPoint": "У вас есть баллы {value1}, и вам необходимо приобрести как минимум {value2} баллов, чтобы продолжить работу.",</v>
      </c>
    </row>
    <row r="1094" spans="1:21">
      <c r="A1094" s="18">
        <f t="shared" ref="A1094:A1100" si="226">IF(COUNTA(B1094)=1,100000+ROW(B1094)-2,"")</f>
        <v>101092</v>
      </c>
      <c r="B1094" s="9" t="s">
        <v>9711</v>
      </c>
      <c r="C1094" s="34" t="s">
        <v>9712</v>
      </c>
      <c r="M1094" s="12" t="str">
        <f t="shared" si="217"/>
        <v>  "titleNewbieClass01": "新手课堂一：答题奖励的原理是什么?",</v>
      </c>
      <c r="N1094" s="12" t="str">
        <f t="shared" si="218"/>
        <v>  "titleNewbieClass01": "",</v>
      </c>
      <c r="O1094" s="12" t="str">
        <f t="shared" si="219"/>
        <v>  "titleNewbieClass01": "",</v>
      </c>
      <c r="P1094" s="12" t="str">
        <f t="shared" si="220"/>
        <v>  "titleNewbieClass01": "",</v>
      </c>
      <c r="Q1094" s="12" t="str">
        <f t="shared" si="221"/>
        <v>  "titleNewbieClass01": "",</v>
      </c>
      <c r="R1094" s="12" t="str">
        <f t="shared" si="222"/>
        <v>  "titleNewbieClass01": "",</v>
      </c>
      <c r="S1094" s="12" t="str">
        <f t="shared" si="223"/>
        <v>  "titleNewbieClass01": "",</v>
      </c>
      <c r="T1094" s="12" t="str">
        <f t="shared" si="224"/>
        <v>  "titleNewbieClass01": "",</v>
      </c>
      <c r="U1094" s="12" t="str">
        <f t="shared" si="225"/>
        <v>  "titleNewbieClass01": "",</v>
      </c>
    </row>
    <row r="1095" spans="1:21">
      <c r="A1095" s="18">
        <f t="shared" si="226"/>
        <v>101093</v>
      </c>
      <c r="B1095" s="9" t="s">
        <v>9713</v>
      </c>
      <c r="C1095" s="35" t="s">
        <v>9714</v>
      </c>
      <c r="M1095" s="12" t="str">
        <f t="shared" si="217"/>
        <v>  "textNewbieClass0101": "类型1 获胜奖\n判断标准：选择答案后，按人数排在前100名以内。\n获奖资格：假设您选的是A，问题截止后A获得了最多的票数，那么您将和所有选择A的用户一起获得奖励。\n奖励系数：基于笔的类型和数量（NFT笔可叠加计算），笔的级别越高，系数越大。\n奖励额度：奖池金额 * 100 / 总投票人数",</v>
      </c>
      <c r="N1095" s="12" t="str">
        <f t="shared" si="218"/>
        <v>  "textNewbieClass0101": "",</v>
      </c>
      <c r="O1095" s="12" t="str">
        <f t="shared" si="219"/>
        <v>  "textNewbieClass0101": "",</v>
      </c>
      <c r="P1095" s="12" t="str">
        <f t="shared" si="220"/>
        <v>  "textNewbieClass0101": "",</v>
      </c>
      <c r="Q1095" s="12" t="str">
        <f t="shared" si="221"/>
        <v>  "textNewbieClass0101": "",</v>
      </c>
      <c r="R1095" s="12" t="str">
        <f t="shared" si="222"/>
        <v>  "textNewbieClass0101": "",</v>
      </c>
      <c r="S1095" s="12" t="str">
        <f t="shared" si="223"/>
        <v>  "textNewbieClass0101": "",</v>
      </c>
      <c r="T1095" s="12" t="str">
        <f t="shared" si="224"/>
        <v>  "textNewbieClass0101": "",</v>
      </c>
      <c r="U1095" s="12" t="str">
        <f t="shared" si="225"/>
        <v>  "textNewbieClass0101": "",</v>
      </c>
    </row>
    <row r="1096" spans="1:21">
      <c r="A1096" s="18">
        <f t="shared" si="226"/>
        <v>101094</v>
      </c>
      <c r="B1096" s="9" t="s">
        <v>9715</v>
      </c>
      <c r="C1096" s="34" t="s">
        <v>9716</v>
      </c>
      <c r="M1096" s="12" t="str">
        <f t="shared" si="217"/>
        <v>  "textNewbieClass0102": "如何理解获胜奖？\n获胜奖是一种分配相对平均的奖励，即所有“获胜者”一起共享奖池，造成奖励不同的唯一因素就是持有笔的不同。",</v>
      </c>
      <c r="N1096" s="12" t="str">
        <f t="shared" si="218"/>
        <v>  "textNewbieClass0102": "",</v>
      </c>
      <c r="O1096" s="12" t="str">
        <f t="shared" si="219"/>
        <v>  "textNewbieClass0102": "",</v>
      </c>
      <c r="P1096" s="12" t="str">
        <f t="shared" si="220"/>
        <v>  "textNewbieClass0102": "",</v>
      </c>
      <c r="Q1096" s="12" t="str">
        <f t="shared" si="221"/>
        <v>  "textNewbieClass0102": "",</v>
      </c>
      <c r="R1096" s="12" t="str">
        <f t="shared" si="222"/>
        <v>  "textNewbieClass0102": "",</v>
      </c>
      <c r="S1096" s="12" t="str">
        <f t="shared" si="223"/>
        <v>  "textNewbieClass0102": "",</v>
      </c>
      <c r="T1096" s="12" t="str">
        <f t="shared" si="224"/>
        <v>  "textNewbieClass0102": "",</v>
      </c>
      <c r="U1096" s="12" t="str">
        <f t="shared" si="225"/>
        <v>  "textNewbieClass0102": "",</v>
      </c>
    </row>
    <row r="1097" spans="1:21">
      <c r="A1097" s="18">
        <f t="shared" si="226"/>
        <v>101095</v>
      </c>
      <c r="B1097" s="9" t="s">
        <v>9717</v>
      </c>
      <c r="C1097" s="34" t="s">
        <v>9718</v>
      </c>
      <c r="M1097" s="12" t="str">
        <f t="shared" si="217"/>
        <v>  "textNewbieClass0103": "类型2 辩证奖\n判断标准：选择答案后，按人数排在100名之后。\n奖励资格：假设您选的是A，问题结束后A选项的占比，比起您在投票的时候A选项的占比：1.上升；2.下降，但下降额度不超过5%，以上两种情况，均可获得奖励。\n奖励系数：系数1：基于笔的类型和数量（NFT笔可叠加计算），笔的级别越高，系数越大。系数2：基于选项投票百分比增长幅度，增幅越大，系数越大。\n奖励额度：奖池金额 * (总投票人数 - 100) / 总投票人数",</v>
      </c>
      <c r="N1097" s="12" t="str">
        <f t="shared" si="218"/>
        <v>  "textNewbieClass0103": "",</v>
      </c>
      <c r="O1097" s="12" t="str">
        <f t="shared" si="219"/>
        <v>  "textNewbieClass0103": "",</v>
      </c>
      <c r="P1097" s="12" t="str">
        <f t="shared" si="220"/>
        <v>  "textNewbieClass0103": "",</v>
      </c>
      <c r="Q1097" s="12" t="str">
        <f t="shared" si="221"/>
        <v>  "textNewbieClass0103": "",</v>
      </c>
      <c r="R1097" s="12" t="str">
        <f t="shared" si="222"/>
        <v>  "textNewbieClass0103": "",</v>
      </c>
      <c r="S1097" s="12" t="str">
        <f t="shared" si="223"/>
        <v>  "textNewbieClass0103": "",</v>
      </c>
      <c r="T1097" s="12" t="str">
        <f t="shared" si="224"/>
        <v>  "textNewbieClass0103": "",</v>
      </c>
      <c r="U1097" s="12" t="str">
        <f t="shared" si="225"/>
        <v>  "textNewbieClass0103": "",</v>
      </c>
    </row>
    <row r="1098" spans="1:21">
      <c r="A1098" s="18">
        <f t="shared" si="226"/>
        <v>101096</v>
      </c>
      <c r="B1098" s="9" t="s">
        <v>9719</v>
      </c>
      <c r="C1098" s="34" t="s">
        <v>9720</v>
      </c>
      <c r="M1098" s="12" t="str">
        <f t="shared" si="217"/>
        <v>  "textNewbieClass0104": "如何理解辩证奖？\n1.辩证奖是一种分配差异较大、竞争性更强的一种奖励，除了持有笔不同的因素外，更重要的是您投的选项，在问题截止时上升的幅度*。\n2.无论您投票的时候，该选项是多数人的选择，还是少数人的选择，您都可能获得辩证奖。",</v>
      </c>
      <c r="N1098" s="12" t="str">
        <f t="shared" si="218"/>
        <v>  "textNewbieClass0104": "",</v>
      </c>
      <c r="O1098" s="12" t="str">
        <f t="shared" si="219"/>
        <v>  "textNewbieClass0104": "",</v>
      </c>
      <c r="P1098" s="12" t="str">
        <f t="shared" si="220"/>
        <v>  "textNewbieClass0104": "",</v>
      </c>
      <c r="Q1098" s="12" t="str">
        <f t="shared" si="221"/>
        <v>  "textNewbieClass0104": "",</v>
      </c>
      <c r="R1098" s="12" t="str">
        <f t="shared" si="222"/>
        <v>  "textNewbieClass0104": "",</v>
      </c>
      <c r="S1098" s="12" t="str">
        <f t="shared" si="223"/>
        <v>  "textNewbieClass0104": "",</v>
      </c>
      <c r="T1098" s="12" t="str">
        <f t="shared" si="224"/>
        <v>  "textNewbieClass0104": "",</v>
      </c>
      <c r="U1098" s="12" t="str">
        <f t="shared" si="225"/>
        <v>  "textNewbieClass0104": "",</v>
      </c>
    </row>
    <row r="1099" spans="1:21">
      <c r="A1099" s="18">
        <f t="shared" si="226"/>
        <v>101097</v>
      </c>
      <c r="B1099" s="9" t="s">
        <v>9721</v>
      </c>
      <c r="C1099" s="34" t="s">
        <v>9722</v>
      </c>
      <c r="M1099" s="12" t="str">
        <f t="shared" si="217"/>
        <v>  "textNewbieClass0105": "*投票早期已投的票数很少，上升较大幅度很容易；越临近截止，上升同样的幅度越难。我们的算法考虑到了这一点，引入了额外投票阶段系数作为平衡，保证在任何时间点投票，辩证奖励都的计算都是公平的。",</v>
      </c>
      <c r="N1099" s="12" t="str">
        <f t="shared" si="218"/>
        <v>  "textNewbieClass0105": "",</v>
      </c>
      <c r="O1099" s="12" t="str">
        <f t="shared" si="219"/>
        <v>  "textNewbieClass0105": "",</v>
      </c>
      <c r="P1099" s="12" t="str">
        <f t="shared" si="220"/>
        <v>  "textNewbieClass0105": "",</v>
      </c>
      <c r="Q1099" s="12" t="str">
        <f t="shared" si="221"/>
        <v>  "textNewbieClass0105": "",</v>
      </c>
      <c r="R1099" s="12" t="str">
        <f t="shared" si="222"/>
        <v>  "textNewbieClass0105": "",</v>
      </c>
      <c r="S1099" s="12" t="str">
        <f t="shared" si="223"/>
        <v>  "textNewbieClass0105": "",</v>
      </c>
      <c r="T1099" s="12" t="str">
        <f t="shared" si="224"/>
        <v>  "textNewbieClass0105": "",</v>
      </c>
      <c r="U1099" s="12" t="str">
        <f t="shared" si="225"/>
        <v>  "textNewbieClass0105": "",</v>
      </c>
    </row>
    <row r="1100" spans="1:21">
      <c r="A1100" s="18">
        <f t="shared" si="226"/>
        <v>101098</v>
      </c>
      <c r="B1100" s="9" t="s">
        <v>9723</v>
      </c>
      <c r="C1100" s="34" t="s">
        <v>9724</v>
      </c>
      <c r="M1100" s="12" t="s">
        <v>9725</v>
      </c>
      <c r="N1100" s="12" t="s">
        <v>9725</v>
      </c>
      <c r="O1100" s="12" t="s">
        <v>9725</v>
      </c>
      <c r="P1100" s="12" t="s">
        <v>9725</v>
      </c>
      <c r="Q1100" s="12" t="s">
        <v>9725</v>
      </c>
      <c r="R1100" s="12" t="s">
        <v>9725</v>
      </c>
      <c r="S1100" s="12" t="s">
        <v>9725</v>
      </c>
      <c r="T1100" s="12" t="s">
        <v>9725</v>
      </c>
      <c r="U1100" s="12" t="s">
        <v>9725</v>
      </c>
    </row>
  </sheetData>
  <autoFilter ref="A2:Y1094">
    <sortState ref="A2:Y1094">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spans="3:11">
      <c r="C10" s="4" t="s">
        <v>356</v>
      </c>
      <c r="D10" s="4" t="s">
        <v>356</v>
      </c>
      <c r="E10" s="5" t="s">
        <v>357</v>
      </c>
      <c r="F10" s="6" t="s">
        <v>358</v>
      </c>
      <c r="G10" s="7" t="s">
        <v>359</v>
      </c>
      <c r="H10" s="7" t="s">
        <v>360</v>
      </c>
      <c r="I10" s="7" t="s">
        <v>361</v>
      </c>
      <c r="J10" s="6" t="s">
        <v>362</v>
      </c>
      <c r="K10" s="6" t="s">
        <v>363</v>
      </c>
    </row>
    <row r="12" ht="28" spans="3:11">
      <c r="C12" s="1" t="s">
        <v>3697</v>
      </c>
      <c r="D12" s="1" t="s">
        <v>3698</v>
      </c>
      <c r="E12" s="2" t="s">
        <v>988</v>
      </c>
      <c r="F12" s="3" t="s">
        <v>989</v>
      </c>
      <c r="G12" s="1" t="s">
        <v>990</v>
      </c>
      <c r="H12" s="1" t="s">
        <v>991</v>
      </c>
      <c r="I12" s="1" t="s">
        <v>992</v>
      </c>
      <c r="J12" s="3" t="s">
        <v>993</v>
      </c>
      <c r="K12" s="3" t="s">
        <v>994</v>
      </c>
    </row>
    <row r="15" ht="28" spans="3:11">
      <c r="C15" s="1" t="s">
        <v>1637</v>
      </c>
      <c r="D15" s="1" t="s">
        <v>1638</v>
      </c>
      <c r="E15" s="2" t="s">
        <v>1639</v>
      </c>
      <c r="F15" s="3" t="s">
        <v>1640</v>
      </c>
      <c r="G15" s="1" t="s">
        <v>1641</v>
      </c>
      <c r="H15" s="1" t="s">
        <v>1642</v>
      </c>
      <c r="I15" s="1" t="s">
        <v>1643</v>
      </c>
      <c r="J15" s="3" t="s">
        <v>1644</v>
      </c>
      <c r="K15" s="3" t="s">
        <v>1645</v>
      </c>
    </row>
    <row r="19" ht="42"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2023-09-16T05:30:47Z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
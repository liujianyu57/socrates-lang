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<sst xmlns="http://schemas.openxmlformats.org/spreadsheetml/2006/main" count="8864" uniqueCount="7938">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</sst>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86"/>
  <sheetViews>
    <sheetView tabSelected="1" workbookViewId="0">
      <pane ySplit="2" topLeftCell="A871" activePane="bottomLeft" state="frozen"/>
      <selection/>
      <selection pane="bottomLeft" activeCell="B878" sqref="B878:E885"/>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IF(COUNTA(B876)=1,100000+ROW(B876)-2,"")</f>
        <v>100874</v>
      </c>
      <c r="B876" s="3" t="s">
        <v>7876</v>
      </c>
      <c r="C876" s="4" t="s">
        <v>7877</v>
      </c>
      <c r="D876" s="4" t="s">
        <v>7878</v>
      </c>
      <c r="E876" s="17" t="s">
        <v>7879</v>
      </c>
      <c r="F876" s="6" t="s">
        <v>7880</v>
      </c>
      <c r="G876" s="4" t="s">
        <v>7881</v>
      </c>
      <c r="H876" s="4" t="s">
        <v>7882</v>
      </c>
      <c r="I876" s="4" t="s">
        <v>7883</v>
      </c>
      <c r="J876" s="6" t="s">
        <v>7884</v>
      </c>
      <c r="K876" s="6" t="s">
        <v>7885</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IF(COUNTA(B877)=1,100000+ROW(B877)-2,"")</f>
        <v>100875</v>
      </c>
      <c r="B877" s="3" t="s">
        <v>7886</v>
      </c>
      <c r="C877" s="4" t="s">
        <v>7887</v>
      </c>
      <c r="D877" s="4" t="s">
        <v>7888</v>
      </c>
      <c r="E877" s="17" t="s">
        <v>7889</v>
      </c>
      <c r="F877" s="6" t="s">
        <v>7890</v>
      </c>
      <c r="G877" s="4" t="s">
        <v>7891</v>
      </c>
      <c r="H877" s="4" t="s">
        <v>7892</v>
      </c>
      <c r="I877" s="4" t="s">
        <v>7893</v>
      </c>
      <c r="J877" s="6" t="s">
        <v>7894</v>
      </c>
      <c r="K877" s="6" t="s">
        <v>7895</v>
      </c>
      <c r="M877" s="2" t="str">
        <f t="shared" ref="M877:M885" si="161">"  """&amp;$B877&amp;""": """&amp;C877&amp;""""&amp;IF(COUNTA($B878)=1,",","")</f>
        <v>  "textOpenNFTMysteryBox": "开启NFT盲盒",</v>
      </c>
      <c r="N877" s="2" t="str">
        <f t="shared" ref="N877:N885" si="162">"  """&amp;$B877&amp;""": """&amp;D877&amp;""""&amp;IF(COUNTA($B878)=1,",","")</f>
        <v>  "textOpenNFTMysteryBox": "開啟NFT盲盒",</v>
      </c>
      <c r="O877" s="2" t="str">
        <f t="shared" ref="O877:O885" si="163">"  """&amp;$B877&amp;""": """&amp;E877&amp;""""&amp;IF(COUNTA($B878)=1,",","")</f>
        <v>  "textOpenNFTMysteryBox": "Open NFT mystery box",</v>
      </c>
      <c r="P877" s="2" t="str">
        <f t="shared" ref="P877:P885" si="164">"  """&amp;$B877&amp;""": """&amp;F877&amp;""""&amp;IF(COUNTA($B878)=1,",","")</f>
        <v>  "textOpenNFTMysteryBox": "Abra a caixa misteriosa NFT",</v>
      </c>
      <c r="Q877" s="2" t="str">
        <f t="shared" ref="Q877:Q885" si="165">"  """&amp;$B877&amp;""": """&amp;G877&amp;""""&amp;IF(COUNTA($B878)=1,",","")</f>
        <v>  "textOpenNFTMysteryBox": "Abrir caja misteriosa NFT",</v>
      </c>
      <c r="R877" s="2" t="str">
        <f t="shared" ref="R877:R885" si="166">"  """&amp;$B877&amp;""": """&amp;H877&amp;""""&amp;IF(COUNTA($B878)=1,",","")</f>
        <v>  "textOpenNFTMysteryBox": "NFTブラインドボックスを開く",</v>
      </c>
      <c r="S877" s="2" t="str">
        <f t="shared" ref="S877:S885" si="167">"  """&amp;$B877&amp;""": """&amp;I877&amp;""""&amp;IF(COUNTA($B878)=1,",","")</f>
        <v>  "textOpenNFTMysteryBox": "NFT 미스터리 박스 열기",</v>
      </c>
      <c r="T877" s="2" t="str">
        <f t="shared" ref="T877:T885" si="168">"  """&amp;$B877&amp;""": """&amp;J877&amp;""""&amp;IF(COUNTA($B878)=1,",","")</f>
        <v>  "textOpenNFTMysteryBox": "Mở hộp bí ẩn NFT",</v>
      </c>
      <c r="U877" s="2" t="str">
        <f t="shared" ref="U877:U885" si="169">"  """&amp;$B877&amp;""": """&amp;K877&amp;""""&amp;IF(COUNTA($B878)=1,",","")</f>
        <v>  "textOpenNFTMysteryBox": "Откройте загадочную коробку NFT",</v>
      </c>
    </row>
    <row r="878" spans="1:21">
      <c r="A878" s="12">
        <f t="shared" ref="A878:A885" si="170">IF(COUNTA(B878)=1,100000+ROW(B878)-2,"")</f>
        <v>100876</v>
      </c>
      <c r="B878" s="3" t="s">
        <v>7896</v>
      </c>
      <c r="C878" s="4" t="s">
        <v>693</v>
      </c>
      <c r="D878" s="4" t="s">
        <v>694</v>
      </c>
      <c r="E878" s="4" t="s">
        <v>695</v>
      </c>
      <c r="F878" s="6" t="s">
        <v>696</v>
      </c>
      <c r="G878" s="4" t="s">
        <v>696</v>
      </c>
      <c r="H878" s="4" t="s">
        <v>697</v>
      </c>
      <c r="I878" s="4" t="s">
        <v>698</v>
      </c>
      <c r="J878" s="6" t="s">
        <v>7897</v>
      </c>
      <c r="K878" s="6" t="s">
        <v>7898</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7899</v>
      </c>
      <c r="C879" s="4" t="s">
        <v>7900</v>
      </c>
      <c r="D879" s="4" t="s">
        <v>7901</v>
      </c>
      <c r="E879" s="4" t="s">
        <v>7902</v>
      </c>
      <c r="F879" s="6" t="s">
        <v>7902</v>
      </c>
      <c r="G879" s="4" t="s">
        <v>7903</v>
      </c>
      <c r="H879" s="4" t="s">
        <v>7904</v>
      </c>
      <c r="I879" s="4" t="s">
        <v>7905</v>
      </c>
      <c r="J879" s="6" t="s">
        <v>7906</v>
      </c>
      <c r="K879" s="6" t="s">
        <v>7907</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7908</v>
      </c>
      <c r="C880" s="4" t="s">
        <v>7909</v>
      </c>
      <c r="D880" s="4" t="s">
        <v>7910</v>
      </c>
      <c r="E880" s="4" t="s">
        <v>7911</v>
      </c>
      <c r="F880" s="6" t="s">
        <v>7912</v>
      </c>
      <c r="G880" s="4" t="s">
        <v>7913</v>
      </c>
      <c r="H880" s="4" t="s">
        <v>7914</v>
      </c>
      <c r="I880" s="4" t="s">
        <v>7915</v>
      </c>
      <c r="J880" s="6" t="s">
        <v>7916</v>
      </c>
      <c r="K880" s="6" t="s">
        <v>7917</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7918</v>
      </c>
      <c r="C881" s="4" t="s">
        <v>7919</v>
      </c>
      <c r="D881" s="4" t="s">
        <v>7920</v>
      </c>
      <c r="E881" s="4" t="s">
        <v>7921</v>
      </c>
      <c r="F881" s="6" t="s">
        <v>7922</v>
      </c>
      <c r="G881" s="4" t="s">
        <v>7922</v>
      </c>
      <c r="H881" s="4" t="s">
        <v>7923</v>
      </c>
      <c r="I881" s="4" t="s">
        <v>7924</v>
      </c>
      <c r="J881" s="6" t="s">
        <v>7925</v>
      </c>
      <c r="K881" s="6" t="s">
        <v>7926</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7927</v>
      </c>
      <c r="C882" s="4" t="s">
        <v>7928</v>
      </c>
      <c r="D882" s="4" t="s">
        <v>7929</v>
      </c>
      <c r="E882" s="5" t="s">
        <v>6370</v>
      </c>
      <c r="F882" s="6" t="s">
        <v>7930</v>
      </c>
      <c r="G882" s="4" t="s">
        <v>7931</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7932</v>
      </c>
      <c r="C883" s="4" t="s">
        <v>7933</v>
      </c>
      <c r="D883" s="4" t="s">
        <v>7933</v>
      </c>
      <c r="E883" s="4" t="s">
        <v>7934</v>
      </c>
      <c r="F883" s="6" t="s">
        <v>7639</v>
      </c>
      <c r="G883" s="4" t="s">
        <v>7640</v>
      </c>
      <c r="H883" s="4" t="s">
        <v>7641</v>
      </c>
      <c r="I883" s="4" t="s">
        <v>7290</v>
      </c>
      <c r="J883" s="6" t="s">
        <v>7642</v>
      </c>
      <c r="K883" s="6" t="s">
        <v>7643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7935</v>
      </c>
      <c r="C884" s="4" t="s">
        <v>1114</v>
      </c>
      <c r="D884" s="4" t="s">
        <v>1115</v>
      </c>
      <c r="E884" s="4" t="s">
        <v>7612</v>
      </c>
      <c r="F884" s="6" t="s">
        <v>7613</v>
      </c>
      <c r="G884" s="4" t="s">
        <v>91</v>
      </c>
      <c r="H884" s="4" t="s">
        <v>92</v>
      </c>
      <c r="I884" s="4" t="s">
        <v>93</v>
      </c>
      <c r="J884" s="6" t="s">
        <v>94</v>
      </c>
      <c r="K884" s="6" t="s">
        <v>7614</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7936</v>
      </c>
      <c r="C885" s="4" t="s">
        <v>7616</v>
      </c>
      <c r="D885" s="4" t="s">
        <v>7617</v>
      </c>
      <c r="E885" s="5" t="s">
        <v>2039</v>
      </c>
      <c r="F885" s="6" t="s">
        <v>2040</v>
      </c>
      <c r="G885" s="4" t="s">
        <v>7618</v>
      </c>
      <c r="H885" s="4" t="s">
        <v>7619</v>
      </c>
      <c r="I885" s="4" t="s">
        <v>2043</v>
      </c>
      <c r="J885" s="6" t="s">
        <v>2044</v>
      </c>
      <c r="K885" s="6" t="s">
        <v>7620</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spans="13:21">
      <c r="M886" s="2" t="s">
        <v>7937</v>
      </c>
      <c r="N886" s="2" t="s">
        <v>7937</v>
      </c>
      <c r="O886" s="2" t="s">
        <v>7937</v>
      </c>
      <c r="P886" s="2" t="s">
        <v>7937</v>
      </c>
      <c r="Q886" s="2" t="s">
        <v>7937</v>
      </c>
      <c r="R886" s="2" t="s">
        <v>7937</v>
      </c>
      <c r="S886" s="2" t="s">
        <v>7937</v>
      </c>
      <c r="T886" s="2" t="s">
        <v>7937</v>
      </c>
      <c r="U886" s="2" t="s">
        <v>7937</v>
      </c>
    </row>
  </sheetData>
  <autoFilter ref="A2:Y876">
    <sortState ref="A2:Y87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2023-06-20T14:04:52Z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